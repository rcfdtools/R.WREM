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.WREM\file\table\"/>
    </mc:Choice>
  </mc:AlternateContent>
  <xr:revisionPtr revIDLastSave="0" documentId="13_ncr:1_{3D845259-A5AE-4F93-89A8-160276FDBAF8}" xr6:coauthVersionLast="47" xr6:coauthVersionMax="47" xr10:uidLastSave="{00000000-0000-0000-0000-000000000000}"/>
  <bookViews>
    <workbookView xWindow="-93" yWindow="-93" windowWidth="20666" windowHeight="12266" firstSheet="2" activeTab="4" xr2:uid="{2255F479-0D41-4B39-BE5A-1B1436E09AAA}"/>
  </bookViews>
  <sheets>
    <sheet name="21208110_21209770 " sheetId="1" r:id="rId1"/>
    <sheet name="HECRAS_Prototype1D_v0" sheetId="3" r:id="rId2"/>
    <sheet name="HECRAS_Prototype2D_v0" sheetId="4" r:id="rId3"/>
    <sheet name="Metadata" sheetId="2" r:id="rId4"/>
    <sheet name="HECRAS_River_v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D2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E27" i="1"/>
  <c r="E26" i="1"/>
  <c r="D27" i="1"/>
  <c r="C27" i="1"/>
  <c r="D26" i="1"/>
  <c r="C26" i="1"/>
  <c r="B27" i="1"/>
  <c r="B26" i="1"/>
  <c r="C21" i="1"/>
  <c r="C22" i="1"/>
</calcChain>
</file>

<file path=xl/sharedStrings.xml><?xml version="1.0" encoding="utf-8"?>
<sst xmlns="http://schemas.openxmlformats.org/spreadsheetml/2006/main" count="122" uniqueCount="58">
  <si>
    <t>Date</t>
  </si>
  <si>
    <t>Jar. Izq.</t>
  </si>
  <si>
    <t>Jar Der.</t>
  </si>
  <si>
    <t>n Manning canal ppal</t>
  </si>
  <si>
    <t>n Manning bancas</t>
  </si>
  <si>
    <t>n Manning llanura</t>
  </si>
  <si>
    <t>CX (m)</t>
  </si>
  <si>
    <t>CY (m)</t>
  </si>
  <si>
    <t>Valor</t>
  </si>
  <si>
    <t>Q, caudal (m³/s)</t>
  </si>
  <si>
    <t>https://www.acueducto.com.co/wasap02/sih/inicio?opcion=verMapa&amp;inicio=index</t>
  </si>
  <si>
    <t>Metadata</t>
  </si>
  <si>
    <t>s, pendiente (m/m)</t>
  </si>
  <si>
    <t>Cota Jarillón Izq. (m)</t>
  </si>
  <si>
    <t>Cota Jarillón Der. (m)</t>
  </si>
  <si>
    <t>Alto Jarillón Izq. (m)</t>
  </si>
  <si>
    <t>Alto Jarillón Der. (m)</t>
  </si>
  <si>
    <t>T, ancho corona (m)</t>
  </si>
  <si>
    <t>b, base canal (m)</t>
  </si>
  <si>
    <t>z1, Talud izquierdo (z:1)</t>
  </si>
  <si>
    <t>z2, Talud derecho (z:1)</t>
  </si>
  <si>
    <t>L, longitud canal (m)</t>
  </si>
  <si>
    <t>Estación</t>
  </si>
  <si>
    <t xml:space="preserve"> Time (hr)</t>
  </si>
  <si>
    <t>Step</t>
  </si>
  <si>
    <t>River</t>
  </si>
  <si>
    <t xml:space="preserve"> Reach</t>
  </si>
  <si>
    <t>River1</t>
  </si>
  <si>
    <t xml:space="preserve"> Reach1</t>
  </si>
  <si>
    <t>1D cross-section values</t>
  </si>
  <si>
    <t>Schematic X</t>
  </si>
  <si>
    <t xml:space="preserve"> Schematic Y</t>
  </si>
  <si>
    <t>1D river coordinates</t>
  </si>
  <si>
    <t>Distributed flow with a triangular unitary hydrograph (UH)</t>
  </si>
  <si>
    <t>Time to peak: 1.5 hr</t>
  </si>
  <si>
    <t xml:space="preserve"> Flow (m³/s, cms)</t>
  </si>
  <si>
    <t>s, pendiente crítica (m/m)</t>
  </si>
  <si>
    <t>PTE LA VIRGEN  [21208110], PTE LA VIRGEN  [21209770]</t>
  </si>
  <si>
    <t>Registros de nivel</t>
  </si>
  <si>
    <t>Fecha</t>
  </si>
  <si>
    <t>Nivel (m)</t>
  </si>
  <si>
    <t>Jarillones y fondo</t>
  </si>
  <si>
    <t>Cero Limn.</t>
  </si>
  <si>
    <t>Cero Limnímetro (m)</t>
  </si>
  <si>
    <t>HEC-RAS 1D (L=1000m)</t>
  </si>
  <si>
    <t>HEC-RAS 2D (L=500m)</t>
  </si>
  <si>
    <t>Station</t>
  </si>
  <si>
    <t>RS</t>
  </si>
  <si>
    <t>Elevation</t>
  </si>
  <si>
    <t>Mesh cell size (m)</t>
  </si>
  <si>
    <t>2D cross-section values</t>
  </si>
  <si>
    <t>HEC-RAS description</t>
  </si>
  <si>
    <t>Parámetro</t>
  </si>
  <si>
    <t>Geometría y niveles</t>
  </si>
  <si>
    <t>https://rcfdtools.github.io/rcfdtools/tool/ynyc/</t>
  </si>
  <si>
    <t>https://github.com/rcfdtools/rcfdtools/blob/main/tool/ynyc/Readme.md</t>
  </si>
  <si>
    <t>Time to peak: xxx hr</t>
  </si>
  <si>
    <t>HEC-RAS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</si>
</sst>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Segoe UI Light"/>
      <family val="2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14" fontId="2" fillId="0" borderId="5" xfId="0" applyNumberFormat="1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2" fillId="2" borderId="2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" fillId="0" borderId="0" xfId="1" applyFont="1"/>
    <xf numFmtId="0" fontId="2" fillId="2" borderId="8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'21208110_21209770 '!$C$4</c:f>
          <c:strCache>
            <c:ptCount val="1"/>
            <c:pt idx="0">
              <c:v>PTE LA VIRGEN  [21208110], PTE LA VIRGEN  [21209770]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25859141315499E-2"/>
          <c:y val="0.16993548602197142"/>
          <c:w val="0.88340001683080305"/>
          <c:h val="0.6286224237473674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'21208110_21209770 '!$C$30</c:f>
              <c:strCache>
                <c:ptCount val="1"/>
                <c:pt idx="0">
                  <c:v>Nivel (m)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'21208110_21209770 '!$B$31:$B$91</c:f>
              <c:numCache>
                <c:formatCode>m/d/yyyy</c:formatCode>
                <c:ptCount val="61"/>
                <c:pt idx="0">
                  <c:v>46149</c:v>
                </c:pt>
                <c:pt idx="1">
                  <c:v>46150</c:v>
                </c:pt>
                <c:pt idx="2">
                  <c:v>46151</c:v>
                </c:pt>
                <c:pt idx="3">
                  <c:v>46152</c:v>
                </c:pt>
                <c:pt idx="4">
                  <c:v>46153</c:v>
                </c:pt>
                <c:pt idx="5">
                  <c:v>46154</c:v>
                </c:pt>
                <c:pt idx="6">
                  <c:v>46155</c:v>
                </c:pt>
                <c:pt idx="7">
                  <c:v>46156</c:v>
                </c:pt>
                <c:pt idx="8">
                  <c:v>46157</c:v>
                </c:pt>
                <c:pt idx="9">
                  <c:v>46158</c:v>
                </c:pt>
                <c:pt idx="10">
                  <c:v>46159</c:v>
                </c:pt>
                <c:pt idx="11">
                  <c:v>46160</c:v>
                </c:pt>
                <c:pt idx="12">
                  <c:v>46161</c:v>
                </c:pt>
                <c:pt idx="13">
                  <c:v>46162</c:v>
                </c:pt>
                <c:pt idx="14">
                  <c:v>46163</c:v>
                </c:pt>
                <c:pt idx="15">
                  <c:v>46164</c:v>
                </c:pt>
                <c:pt idx="16">
                  <c:v>46165</c:v>
                </c:pt>
                <c:pt idx="17">
                  <c:v>46166</c:v>
                </c:pt>
                <c:pt idx="18">
                  <c:v>46167</c:v>
                </c:pt>
                <c:pt idx="19">
                  <c:v>46168</c:v>
                </c:pt>
                <c:pt idx="20">
                  <c:v>46169</c:v>
                </c:pt>
                <c:pt idx="21">
                  <c:v>46170</c:v>
                </c:pt>
                <c:pt idx="22">
                  <c:v>46171</c:v>
                </c:pt>
                <c:pt idx="23">
                  <c:v>46172</c:v>
                </c:pt>
                <c:pt idx="24">
                  <c:v>46173</c:v>
                </c:pt>
                <c:pt idx="25">
                  <c:v>46174</c:v>
                </c:pt>
                <c:pt idx="26">
                  <c:v>46175</c:v>
                </c:pt>
                <c:pt idx="27">
                  <c:v>46176</c:v>
                </c:pt>
                <c:pt idx="28">
                  <c:v>46177</c:v>
                </c:pt>
                <c:pt idx="29">
                  <c:v>46178</c:v>
                </c:pt>
                <c:pt idx="30">
                  <c:v>46179</c:v>
                </c:pt>
                <c:pt idx="31">
                  <c:v>46180</c:v>
                </c:pt>
                <c:pt idx="32">
                  <c:v>46181</c:v>
                </c:pt>
                <c:pt idx="33">
                  <c:v>46182</c:v>
                </c:pt>
                <c:pt idx="34">
                  <c:v>46183</c:v>
                </c:pt>
                <c:pt idx="35">
                  <c:v>46184</c:v>
                </c:pt>
                <c:pt idx="36">
                  <c:v>46185</c:v>
                </c:pt>
                <c:pt idx="37">
                  <c:v>46186</c:v>
                </c:pt>
                <c:pt idx="38">
                  <c:v>46187</c:v>
                </c:pt>
                <c:pt idx="39">
                  <c:v>46188</c:v>
                </c:pt>
                <c:pt idx="40">
                  <c:v>46189</c:v>
                </c:pt>
                <c:pt idx="41">
                  <c:v>46190</c:v>
                </c:pt>
                <c:pt idx="42">
                  <c:v>46191</c:v>
                </c:pt>
                <c:pt idx="43">
                  <c:v>46192</c:v>
                </c:pt>
                <c:pt idx="44">
                  <c:v>46193</c:v>
                </c:pt>
                <c:pt idx="45">
                  <c:v>46194</c:v>
                </c:pt>
                <c:pt idx="46">
                  <c:v>46195</c:v>
                </c:pt>
                <c:pt idx="47">
                  <c:v>46196</c:v>
                </c:pt>
                <c:pt idx="48">
                  <c:v>46197</c:v>
                </c:pt>
                <c:pt idx="49">
                  <c:v>46198</c:v>
                </c:pt>
                <c:pt idx="50">
                  <c:v>46199</c:v>
                </c:pt>
                <c:pt idx="51">
                  <c:v>46200</c:v>
                </c:pt>
                <c:pt idx="52">
                  <c:v>46201</c:v>
                </c:pt>
                <c:pt idx="53">
                  <c:v>46202</c:v>
                </c:pt>
                <c:pt idx="54">
                  <c:v>46203</c:v>
                </c:pt>
                <c:pt idx="55">
                  <c:v>46204</c:v>
                </c:pt>
                <c:pt idx="56">
                  <c:v>46205</c:v>
                </c:pt>
                <c:pt idx="57">
                  <c:v>46206</c:v>
                </c:pt>
                <c:pt idx="58">
                  <c:v>46207</c:v>
                </c:pt>
                <c:pt idx="59">
                  <c:v>46208</c:v>
                </c:pt>
                <c:pt idx="60">
                  <c:v>46209</c:v>
                </c:pt>
              </c:numCache>
            </c:numRef>
          </c:xVal>
          <c:yVal>
            <c:numRef>
              <c:f>'21208110_21209770 '!$C$31:$C$91</c:f>
              <c:numCache>
                <c:formatCode>General</c:formatCode>
                <c:ptCount val="61"/>
                <c:pt idx="0">
                  <c:v>2541.5</c:v>
                </c:pt>
                <c:pt idx="1">
                  <c:v>2541.4</c:v>
                </c:pt>
                <c:pt idx="2">
                  <c:v>2541.1999999999998</c:v>
                </c:pt>
                <c:pt idx="3">
                  <c:v>2541.1</c:v>
                </c:pt>
                <c:pt idx="4">
                  <c:v>2541.1999999999998</c:v>
                </c:pt>
                <c:pt idx="5">
                  <c:v>2541.1</c:v>
                </c:pt>
                <c:pt idx="6">
                  <c:v>2541.3000000000002</c:v>
                </c:pt>
                <c:pt idx="7">
                  <c:v>2541.3000000000002</c:v>
                </c:pt>
                <c:pt idx="8">
                  <c:v>2541.4</c:v>
                </c:pt>
                <c:pt idx="9">
                  <c:v>2541.4</c:v>
                </c:pt>
                <c:pt idx="10">
                  <c:v>2541.3000000000002</c:v>
                </c:pt>
                <c:pt idx="11">
                  <c:v>2541.3000000000002</c:v>
                </c:pt>
                <c:pt idx="12">
                  <c:v>2541.3000000000002</c:v>
                </c:pt>
                <c:pt idx="13">
                  <c:v>2541.3000000000002</c:v>
                </c:pt>
                <c:pt idx="14">
                  <c:v>2541.1999999999998</c:v>
                </c:pt>
                <c:pt idx="15">
                  <c:v>2541.3000000000002</c:v>
                </c:pt>
                <c:pt idx="16">
                  <c:v>2541.3000000000002</c:v>
                </c:pt>
                <c:pt idx="17">
                  <c:v>2541.3000000000002</c:v>
                </c:pt>
                <c:pt idx="18">
                  <c:v>2541.4</c:v>
                </c:pt>
                <c:pt idx="19">
                  <c:v>2541.4</c:v>
                </c:pt>
                <c:pt idx="20">
                  <c:v>2541.5</c:v>
                </c:pt>
                <c:pt idx="21">
                  <c:v>2541.6</c:v>
                </c:pt>
                <c:pt idx="22">
                  <c:v>2541.8000000000002</c:v>
                </c:pt>
                <c:pt idx="23">
                  <c:v>2541.9</c:v>
                </c:pt>
                <c:pt idx="24">
                  <c:v>2541.9</c:v>
                </c:pt>
                <c:pt idx="25">
                  <c:v>2541.8000000000002</c:v>
                </c:pt>
                <c:pt idx="26">
                  <c:v>2541.6999999999998</c:v>
                </c:pt>
                <c:pt idx="27">
                  <c:v>2541.6</c:v>
                </c:pt>
                <c:pt idx="28">
                  <c:v>2541.5</c:v>
                </c:pt>
                <c:pt idx="29">
                  <c:v>2541.6</c:v>
                </c:pt>
                <c:pt idx="30">
                  <c:v>2541.6999999999998</c:v>
                </c:pt>
                <c:pt idx="31">
                  <c:v>2541.8000000000002</c:v>
                </c:pt>
                <c:pt idx="32">
                  <c:v>2542.1999999999998</c:v>
                </c:pt>
                <c:pt idx="33">
                  <c:v>2542.4</c:v>
                </c:pt>
                <c:pt idx="34">
                  <c:v>2542.4</c:v>
                </c:pt>
                <c:pt idx="35">
                  <c:v>2542.1999999999998</c:v>
                </c:pt>
                <c:pt idx="36">
                  <c:v>2542</c:v>
                </c:pt>
                <c:pt idx="37">
                  <c:v>2541.8000000000002</c:v>
                </c:pt>
                <c:pt idx="38">
                  <c:v>2541.6999999999998</c:v>
                </c:pt>
                <c:pt idx="39">
                  <c:v>2541.6</c:v>
                </c:pt>
                <c:pt idx="40">
                  <c:v>2541.5</c:v>
                </c:pt>
                <c:pt idx="41">
                  <c:v>2541.4</c:v>
                </c:pt>
                <c:pt idx="42">
                  <c:v>2541.4</c:v>
                </c:pt>
                <c:pt idx="43">
                  <c:v>2541.3000000000002</c:v>
                </c:pt>
                <c:pt idx="44">
                  <c:v>2541.3000000000002</c:v>
                </c:pt>
                <c:pt idx="45">
                  <c:v>2541.1999999999998</c:v>
                </c:pt>
                <c:pt idx="46">
                  <c:v>2541.1999999999998</c:v>
                </c:pt>
                <c:pt idx="47">
                  <c:v>2541.1</c:v>
                </c:pt>
                <c:pt idx="48">
                  <c:v>2541.1</c:v>
                </c:pt>
                <c:pt idx="49">
                  <c:v>2541.1</c:v>
                </c:pt>
                <c:pt idx="50">
                  <c:v>2541</c:v>
                </c:pt>
                <c:pt idx="51">
                  <c:v>2541</c:v>
                </c:pt>
                <c:pt idx="52">
                  <c:v>2541</c:v>
                </c:pt>
                <c:pt idx="53">
                  <c:v>2541</c:v>
                </c:pt>
                <c:pt idx="54">
                  <c:v>2541</c:v>
                </c:pt>
                <c:pt idx="55">
                  <c:v>2541.1999999999998</c:v>
                </c:pt>
                <c:pt idx="56">
                  <c:v>2541.5</c:v>
                </c:pt>
                <c:pt idx="57">
                  <c:v>2541.6</c:v>
                </c:pt>
                <c:pt idx="58">
                  <c:v>2541.6</c:v>
                </c:pt>
                <c:pt idx="59">
                  <c:v>2541.6999999999998</c:v>
                </c:pt>
                <c:pt idx="60">
                  <c:v>2541.9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CC-40DA-9993-6B7990C6522A}"/>
            </c:ext>
          </c:extLst>
        </c:ser>
        <c:ser>
          <c:idx val="3"/>
          <c:order val="1"/>
          <c:tx>
            <c:strRef>
              <c:f>'21208110_21209770 '!$C$25</c:f>
              <c:strCache>
                <c:ptCount val="1"/>
                <c:pt idx="0">
                  <c:v>Jar. Izq.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'21208110_21209770 '!$B$26:$B$27</c:f>
              <c:numCache>
                <c:formatCode>m/d/yyyy</c:formatCode>
                <c:ptCount val="2"/>
                <c:pt idx="0">
                  <c:v>46209</c:v>
                </c:pt>
                <c:pt idx="1">
                  <c:v>46149</c:v>
                </c:pt>
              </c:numCache>
            </c:numRef>
          </c:xVal>
          <c:yVal>
            <c:numRef>
              <c:f>'21208110_21209770 '!$C$26:$C$27</c:f>
              <c:numCache>
                <c:formatCode>General</c:formatCode>
                <c:ptCount val="2"/>
                <c:pt idx="0">
                  <c:v>2545.71</c:v>
                </c:pt>
                <c:pt idx="1">
                  <c:v>2545.71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1-4969-A13D-7D21B8CE6A44}"/>
            </c:ext>
          </c:extLst>
        </c:ser>
        <c:ser>
          <c:idx val="1"/>
          <c:order val="2"/>
          <c:tx>
            <c:strRef>
              <c:f>'21208110_21209770 '!$D$25</c:f>
              <c:strCache>
                <c:ptCount val="1"/>
                <c:pt idx="0">
                  <c:v>Jar Der.</c:v>
                </c:pt>
              </c:strCache>
            </c:strRef>
          </c:tx>
          <c:spPr>
            <a:ln w="12700" cap="rnd">
              <a:solidFill>
                <a:schemeClr val="accent5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61-4969-A13D-7D21B8CE6A44}"/>
              </c:ext>
            </c:extLst>
          </c:dPt>
          <c:xVal>
            <c:numRef>
              <c:f>'21208110_21209770 '!$B$26:$B$27</c:f>
              <c:numCache>
                <c:formatCode>m/d/yyyy</c:formatCode>
                <c:ptCount val="2"/>
                <c:pt idx="0">
                  <c:v>46209</c:v>
                </c:pt>
                <c:pt idx="1">
                  <c:v>46149</c:v>
                </c:pt>
              </c:numCache>
            </c:numRef>
          </c:xVal>
          <c:yVal>
            <c:numRef>
              <c:f>'21208110_21209770 '!$D$26:$D$27</c:f>
              <c:numCache>
                <c:formatCode>General</c:formatCode>
                <c:ptCount val="2"/>
                <c:pt idx="0">
                  <c:v>2546.77</c:v>
                </c:pt>
                <c:pt idx="1">
                  <c:v>2546.77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61-4969-A13D-7D21B8CE6A44}"/>
            </c:ext>
          </c:extLst>
        </c:ser>
        <c:ser>
          <c:idx val="2"/>
          <c:order val="3"/>
          <c:tx>
            <c:strRef>
              <c:f>'21208110_21209770 '!$E$25</c:f>
              <c:strCache>
                <c:ptCount val="1"/>
                <c:pt idx="0">
                  <c:v>Cero Limn.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27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1-4969-A13D-7D21B8CE6A44}"/>
              </c:ext>
            </c:extLst>
          </c:dPt>
          <c:xVal>
            <c:numRef>
              <c:f>'21208110_21209770 '!$B$26:$B$27</c:f>
              <c:numCache>
                <c:formatCode>m/d/yyyy</c:formatCode>
                <c:ptCount val="2"/>
                <c:pt idx="0">
                  <c:v>46209</c:v>
                </c:pt>
                <c:pt idx="1">
                  <c:v>46149</c:v>
                </c:pt>
              </c:numCache>
            </c:numRef>
          </c:xVal>
          <c:yVal>
            <c:numRef>
              <c:f>'21208110_21209770 '!$E$26:$E$27</c:f>
              <c:numCache>
                <c:formatCode>General</c:formatCode>
                <c:ptCount val="2"/>
                <c:pt idx="0">
                  <c:v>2539.84</c:v>
                </c:pt>
                <c:pt idx="1">
                  <c:v>2539.84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61-4969-A13D-7D21B8CE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25488"/>
        <c:axId val="1794302224"/>
      </c:scatterChart>
      <c:valAx>
        <c:axId val="1680725488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1794302224"/>
        <c:crosses val="autoZero"/>
        <c:crossBetween val="midCat"/>
        <c:majorUnit val="2"/>
        <c:minorUnit val="2"/>
      </c:valAx>
      <c:valAx>
        <c:axId val="1794302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168072548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102098</xdr:colOff>
      <xdr:row>2</xdr:row>
      <xdr:rowOff>52187</xdr:rowOff>
    </xdr:from>
    <xdr:to>
      <xdr:col>8</xdr:col>
      <xdr:colOff>1768904</xdr:colOff>
      <xdr:row>22</xdr:row>
      <xdr:rowOff>12343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4953E-1045-9F71-F728-C6398245F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cfdtools/blob/main/tool/ynyc/Readme.md" TargetMode="External"/><Relationship Id="rId2" Type="http://schemas.openxmlformats.org/officeDocument/2006/relationships/hyperlink" Target="https://rcfdtools.github.io/rcfdtools/tool/ynyc/" TargetMode="External"/><Relationship Id="rId1" Type="http://schemas.openxmlformats.org/officeDocument/2006/relationships/hyperlink" Target="https://www.acueducto.com.co/wasap02/sih/inicio?opcion=verMapa&amp;inicio=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4144-91FE-4A53-945E-2FBA9C929155}">
  <dimension ref="B2:J92"/>
  <sheetViews>
    <sheetView showGridLines="0" zoomScale="115" zoomScaleNormal="115" workbookViewId="0">
      <selection activeCell="C15" sqref="C15"/>
    </sheetView>
  </sheetViews>
  <sheetFormatPr defaultRowHeight="16.350000000000001" x14ac:dyDescent="0.5"/>
  <cols>
    <col min="1" max="1" width="2.64453125" style="3" customWidth="1"/>
    <col min="2" max="2" width="22.703125" style="9" customWidth="1"/>
    <col min="3" max="5" width="17.8203125" style="2" customWidth="1"/>
    <col min="6" max="8" width="8.9375" style="3"/>
    <col min="9" max="9" width="26.703125" style="3" customWidth="1"/>
    <col min="10" max="10" width="47.8203125" style="3" customWidth="1"/>
    <col min="11" max="16384" width="8.9375" style="3"/>
  </cols>
  <sheetData>
    <row r="2" spans="2:10" x14ac:dyDescent="0.5">
      <c r="B2" s="9" t="s">
        <v>53</v>
      </c>
      <c r="J2" s="3" t="s">
        <v>51</v>
      </c>
    </row>
    <row r="3" spans="2:10" x14ac:dyDescent="0.5">
      <c r="B3" s="11" t="s">
        <v>52</v>
      </c>
      <c r="C3" s="18" t="s">
        <v>8</v>
      </c>
      <c r="J3" s="23" t="str">
        <f t="shared" ref="J3:J22" si="0">_xlfn.CONCAT(B3,": ",C3)</f>
        <v>Parámetro: Valor</v>
      </c>
    </row>
    <row r="4" spans="2:10" ht="49" x14ac:dyDescent="0.5">
      <c r="B4" s="5" t="s">
        <v>22</v>
      </c>
      <c r="C4" s="19" t="s">
        <v>37</v>
      </c>
      <c r="J4" s="23" t="str">
        <f t="shared" si="0"/>
        <v>Estación: PTE LA VIRGEN  [21208110], PTE LA VIRGEN  [21209770]</v>
      </c>
    </row>
    <row r="5" spans="2:10" x14ac:dyDescent="0.5">
      <c r="B5" s="5" t="s">
        <v>9</v>
      </c>
      <c r="C5" s="20">
        <v>140</v>
      </c>
      <c r="J5" s="23" t="str">
        <f t="shared" si="0"/>
        <v>Q, caudal (m³/s): 140</v>
      </c>
    </row>
    <row r="6" spans="2:10" x14ac:dyDescent="0.5">
      <c r="B6" s="5" t="s">
        <v>21</v>
      </c>
      <c r="C6" s="20">
        <v>500</v>
      </c>
      <c r="J6" s="23" t="str">
        <f t="shared" si="0"/>
        <v>L, longitud canal (m): 500</v>
      </c>
    </row>
    <row r="7" spans="2:10" x14ac:dyDescent="0.5">
      <c r="B7" s="6" t="s">
        <v>17</v>
      </c>
      <c r="C7" s="20">
        <v>50</v>
      </c>
      <c r="J7" s="23" t="str">
        <f t="shared" si="0"/>
        <v>T, ancho corona (m): 50</v>
      </c>
    </row>
    <row r="8" spans="2:10" x14ac:dyDescent="0.5">
      <c r="B8" s="6" t="s">
        <v>18</v>
      </c>
      <c r="C8" s="20">
        <v>26</v>
      </c>
      <c r="J8" s="23" t="str">
        <f t="shared" si="0"/>
        <v>b, base canal (m): 26</v>
      </c>
    </row>
    <row r="9" spans="2:10" x14ac:dyDescent="0.5">
      <c r="B9" s="6" t="s">
        <v>19</v>
      </c>
      <c r="C9" s="20">
        <v>2</v>
      </c>
      <c r="J9" s="23" t="str">
        <f t="shared" si="0"/>
        <v>z1, Talud izquierdo (z:1): 2</v>
      </c>
    </row>
    <row r="10" spans="2:10" x14ac:dyDescent="0.5">
      <c r="B10" s="6" t="s">
        <v>20</v>
      </c>
      <c r="C10" s="20">
        <v>2</v>
      </c>
      <c r="J10" s="23" t="str">
        <f t="shared" si="0"/>
        <v>z2, Talud derecho (z:1): 2</v>
      </c>
    </row>
    <row r="11" spans="2:10" x14ac:dyDescent="0.5">
      <c r="B11" s="6" t="s">
        <v>3</v>
      </c>
      <c r="C11" s="20">
        <v>3.5000000000000003E-2</v>
      </c>
      <c r="J11" s="23" t="str">
        <f t="shared" si="0"/>
        <v>n Manning canal ppal: 0.035</v>
      </c>
    </row>
    <row r="12" spans="2:10" x14ac:dyDescent="0.5">
      <c r="B12" s="6" t="s">
        <v>4</v>
      </c>
      <c r="C12" s="20">
        <v>0.05</v>
      </c>
      <c r="J12" s="23" t="str">
        <f t="shared" si="0"/>
        <v>n Manning bancas: 0.05</v>
      </c>
    </row>
    <row r="13" spans="2:10" x14ac:dyDescent="0.5">
      <c r="B13" s="6" t="s">
        <v>5</v>
      </c>
      <c r="C13" s="20">
        <v>0.06</v>
      </c>
      <c r="J13" s="23" t="str">
        <f t="shared" si="0"/>
        <v>n Manning llanura: 0.06</v>
      </c>
    </row>
    <row r="14" spans="2:10" x14ac:dyDescent="0.5">
      <c r="B14" s="6" t="s">
        <v>12</v>
      </c>
      <c r="C14" s="20">
        <v>6.9999999999999994E-5</v>
      </c>
      <c r="J14" s="23" t="str">
        <f t="shared" si="0"/>
        <v>s, pendiente (m/m): 0.00007</v>
      </c>
    </row>
    <row r="15" spans="2:10" x14ac:dyDescent="0.5">
      <c r="B15" s="6" t="s">
        <v>36</v>
      </c>
      <c r="C15" s="20">
        <v>1.1424E-2</v>
      </c>
      <c r="J15" s="23" t="str">
        <f t="shared" si="0"/>
        <v>s, pendiente crítica (m/m): 0.011424</v>
      </c>
    </row>
    <row r="16" spans="2:10" x14ac:dyDescent="0.5">
      <c r="B16" s="6" t="s">
        <v>6</v>
      </c>
      <c r="C16" s="20">
        <v>4878523</v>
      </c>
      <c r="J16" s="23" t="str">
        <f t="shared" si="0"/>
        <v>CX (m): 4878523</v>
      </c>
    </row>
    <row r="17" spans="2:10" x14ac:dyDescent="0.5">
      <c r="B17" s="6" t="s">
        <v>7</v>
      </c>
      <c r="C17" s="20">
        <v>2088408</v>
      </c>
      <c r="J17" s="23" t="str">
        <f t="shared" si="0"/>
        <v>CY (m): 2088408</v>
      </c>
    </row>
    <row r="18" spans="2:10" x14ac:dyDescent="0.5">
      <c r="B18" s="6" t="s">
        <v>43</v>
      </c>
      <c r="C18" s="20">
        <v>2539.84</v>
      </c>
      <c r="J18" s="23" t="str">
        <f t="shared" si="0"/>
        <v>Cero Limnímetro (m): 2539.84</v>
      </c>
    </row>
    <row r="19" spans="2:10" x14ac:dyDescent="0.5">
      <c r="B19" s="5" t="s">
        <v>13</v>
      </c>
      <c r="C19" s="20">
        <v>2545.71</v>
      </c>
      <c r="J19" s="23" t="str">
        <f t="shared" si="0"/>
        <v>Cota Jarillón Izq. (m): 2545.71</v>
      </c>
    </row>
    <row r="20" spans="2:10" x14ac:dyDescent="0.5">
      <c r="B20" s="5" t="s">
        <v>14</v>
      </c>
      <c r="C20" s="20">
        <v>2546.77</v>
      </c>
      <c r="E20" s="4"/>
      <c r="J20" s="23" t="str">
        <f t="shared" si="0"/>
        <v>Cota Jarillón Der. (m): 2546.77</v>
      </c>
    </row>
    <row r="21" spans="2:10" x14ac:dyDescent="0.5">
      <c r="B21" s="5" t="s">
        <v>15</v>
      </c>
      <c r="C21" s="21">
        <f>C19-$C$18</f>
        <v>5.8699999999998909</v>
      </c>
      <c r="E21" s="3"/>
      <c r="J21" s="23" t="str">
        <f t="shared" si="0"/>
        <v>Alto Jarillón Izq. (m): 5.86999999999989</v>
      </c>
    </row>
    <row r="22" spans="2:10" x14ac:dyDescent="0.5">
      <c r="B22" s="7" t="s">
        <v>16</v>
      </c>
      <c r="C22" s="22">
        <f>C20-$C$18</f>
        <v>6.9299999999998363</v>
      </c>
      <c r="E22" s="3"/>
      <c r="J22" s="23" t="str">
        <f t="shared" si="0"/>
        <v>Alto Jarillón Der. (m): 6.92999999999984</v>
      </c>
    </row>
    <row r="24" spans="2:10" x14ac:dyDescent="0.5">
      <c r="B24" s="9" t="s">
        <v>41</v>
      </c>
      <c r="D24" s="2">
        <f>C18+4</f>
        <v>2543.84</v>
      </c>
      <c r="E24" s="2">
        <f>2545.77-C18</f>
        <v>5.9299999999998363</v>
      </c>
    </row>
    <row r="25" spans="2:10" x14ac:dyDescent="0.5">
      <c r="B25" s="11" t="s">
        <v>0</v>
      </c>
      <c r="C25" s="25" t="s">
        <v>1</v>
      </c>
      <c r="D25" s="25" t="s">
        <v>2</v>
      </c>
      <c r="E25" s="26" t="s">
        <v>42</v>
      </c>
    </row>
    <row r="26" spans="2:10" x14ac:dyDescent="0.5">
      <c r="B26" s="12">
        <f>MAX(B31:B100003)</f>
        <v>46209</v>
      </c>
      <c r="C26" s="27">
        <f>C19</f>
        <v>2545.71</v>
      </c>
      <c r="D26" s="27">
        <f>C20</f>
        <v>2546.77</v>
      </c>
      <c r="E26" s="21">
        <f>C18</f>
        <v>2539.84</v>
      </c>
    </row>
    <row r="27" spans="2:10" x14ac:dyDescent="0.5">
      <c r="B27" s="13">
        <f>MIN(B31:B100003)</f>
        <v>46149</v>
      </c>
      <c r="C27" s="28">
        <f>C19</f>
        <v>2545.71</v>
      </c>
      <c r="D27" s="28">
        <f>C20</f>
        <v>2546.77</v>
      </c>
      <c r="E27" s="22">
        <f>C18</f>
        <v>2539.84</v>
      </c>
    </row>
    <row r="29" spans="2:10" x14ac:dyDescent="0.5">
      <c r="B29" s="9" t="s">
        <v>38</v>
      </c>
    </row>
    <row r="30" spans="2:10" x14ac:dyDescent="0.5">
      <c r="B30" s="16" t="s">
        <v>39</v>
      </c>
      <c r="C30" s="17" t="s">
        <v>40</v>
      </c>
      <c r="D30" s="4"/>
      <c r="E30" s="4"/>
    </row>
    <row r="31" spans="2:10" x14ac:dyDescent="0.5">
      <c r="B31" s="14">
        <v>46149</v>
      </c>
      <c r="C31" s="15">
        <v>2541.5</v>
      </c>
    </row>
    <row r="32" spans="2:10" x14ac:dyDescent="0.5">
      <c r="B32" s="14">
        <v>46150</v>
      </c>
      <c r="C32" s="15">
        <v>2541.4</v>
      </c>
    </row>
    <row r="33" spans="2:3" x14ac:dyDescent="0.5">
      <c r="B33" s="14">
        <v>46151</v>
      </c>
      <c r="C33" s="15">
        <v>2541.1999999999998</v>
      </c>
    </row>
    <row r="34" spans="2:3" x14ac:dyDescent="0.5">
      <c r="B34" s="14">
        <v>46152</v>
      </c>
      <c r="C34" s="15">
        <v>2541.1</v>
      </c>
    </row>
    <row r="35" spans="2:3" x14ac:dyDescent="0.5">
      <c r="B35" s="14">
        <v>46153</v>
      </c>
      <c r="C35" s="15">
        <v>2541.1999999999998</v>
      </c>
    </row>
    <row r="36" spans="2:3" x14ac:dyDescent="0.5">
      <c r="B36" s="14">
        <v>46154</v>
      </c>
      <c r="C36" s="15">
        <v>2541.1</v>
      </c>
    </row>
    <row r="37" spans="2:3" x14ac:dyDescent="0.5">
      <c r="B37" s="14">
        <v>46155</v>
      </c>
      <c r="C37" s="15">
        <v>2541.3000000000002</v>
      </c>
    </row>
    <row r="38" spans="2:3" x14ac:dyDescent="0.5">
      <c r="B38" s="14">
        <v>46156</v>
      </c>
      <c r="C38" s="15">
        <v>2541.3000000000002</v>
      </c>
    </row>
    <row r="39" spans="2:3" x14ac:dyDescent="0.5">
      <c r="B39" s="14">
        <v>46157</v>
      </c>
      <c r="C39" s="15">
        <v>2541.4</v>
      </c>
    </row>
    <row r="40" spans="2:3" x14ac:dyDescent="0.5">
      <c r="B40" s="14">
        <v>46158</v>
      </c>
      <c r="C40" s="15">
        <v>2541.4</v>
      </c>
    </row>
    <row r="41" spans="2:3" x14ac:dyDescent="0.5">
      <c r="B41" s="14">
        <v>46159</v>
      </c>
      <c r="C41" s="15">
        <v>2541.3000000000002</v>
      </c>
    </row>
    <row r="42" spans="2:3" x14ac:dyDescent="0.5">
      <c r="B42" s="14">
        <v>46160</v>
      </c>
      <c r="C42" s="15">
        <v>2541.3000000000002</v>
      </c>
    </row>
    <row r="43" spans="2:3" x14ac:dyDescent="0.5">
      <c r="B43" s="14">
        <v>46161</v>
      </c>
      <c r="C43" s="15">
        <v>2541.3000000000002</v>
      </c>
    </row>
    <row r="44" spans="2:3" x14ac:dyDescent="0.5">
      <c r="B44" s="14">
        <v>46162</v>
      </c>
      <c r="C44" s="15">
        <v>2541.3000000000002</v>
      </c>
    </row>
    <row r="45" spans="2:3" x14ac:dyDescent="0.5">
      <c r="B45" s="14">
        <v>46163</v>
      </c>
      <c r="C45" s="15">
        <v>2541.1999999999998</v>
      </c>
    </row>
    <row r="46" spans="2:3" x14ac:dyDescent="0.5">
      <c r="B46" s="14">
        <v>46164</v>
      </c>
      <c r="C46" s="15">
        <v>2541.3000000000002</v>
      </c>
    </row>
    <row r="47" spans="2:3" x14ac:dyDescent="0.5">
      <c r="B47" s="14">
        <v>46165</v>
      </c>
      <c r="C47" s="15">
        <v>2541.3000000000002</v>
      </c>
    </row>
    <row r="48" spans="2:3" x14ac:dyDescent="0.5">
      <c r="B48" s="14">
        <v>46166</v>
      </c>
      <c r="C48" s="15">
        <v>2541.3000000000002</v>
      </c>
    </row>
    <row r="49" spans="2:3" x14ac:dyDescent="0.5">
      <c r="B49" s="14">
        <v>46167</v>
      </c>
      <c r="C49" s="15">
        <v>2541.4</v>
      </c>
    </row>
    <row r="50" spans="2:3" x14ac:dyDescent="0.5">
      <c r="B50" s="14">
        <v>46168</v>
      </c>
      <c r="C50" s="15">
        <v>2541.4</v>
      </c>
    </row>
    <row r="51" spans="2:3" x14ac:dyDescent="0.5">
      <c r="B51" s="14">
        <v>46169</v>
      </c>
      <c r="C51" s="15">
        <v>2541.5</v>
      </c>
    </row>
    <row r="52" spans="2:3" x14ac:dyDescent="0.5">
      <c r="B52" s="14">
        <v>46170</v>
      </c>
      <c r="C52" s="15">
        <v>2541.6</v>
      </c>
    </row>
    <row r="53" spans="2:3" x14ac:dyDescent="0.5">
      <c r="B53" s="14">
        <v>46171</v>
      </c>
      <c r="C53" s="15">
        <v>2541.8000000000002</v>
      </c>
    </row>
    <row r="54" spans="2:3" x14ac:dyDescent="0.5">
      <c r="B54" s="14">
        <v>46172</v>
      </c>
      <c r="C54" s="15">
        <v>2541.9</v>
      </c>
    </row>
    <row r="55" spans="2:3" x14ac:dyDescent="0.5">
      <c r="B55" s="14">
        <v>46173</v>
      </c>
      <c r="C55" s="15">
        <v>2541.9</v>
      </c>
    </row>
    <row r="56" spans="2:3" x14ac:dyDescent="0.5">
      <c r="B56" s="14">
        <v>46174</v>
      </c>
      <c r="C56" s="15">
        <v>2541.8000000000002</v>
      </c>
    </row>
    <row r="57" spans="2:3" x14ac:dyDescent="0.5">
      <c r="B57" s="14">
        <v>46175</v>
      </c>
      <c r="C57" s="15">
        <v>2541.6999999999998</v>
      </c>
    </row>
    <row r="58" spans="2:3" x14ac:dyDescent="0.5">
      <c r="B58" s="14">
        <v>46176</v>
      </c>
      <c r="C58" s="15">
        <v>2541.6</v>
      </c>
    </row>
    <row r="59" spans="2:3" x14ac:dyDescent="0.5">
      <c r="B59" s="14">
        <v>46177</v>
      </c>
      <c r="C59" s="15">
        <v>2541.5</v>
      </c>
    </row>
    <row r="60" spans="2:3" x14ac:dyDescent="0.5">
      <c r="B60" s="14">
        <v>46178</v>
      </c>
      <c r="C60" s="15">
        <v>2541.6</v>
      </c>
    </row>
    <row r="61" spans="2:3" x14ac:dyDescent="0.5">
      <c r="B61" s="14">
        <v>46179</v>
      </c>
      <c r="C61" s="15">
        <v>2541.6999999999998</v>
      </c>
    </row>
    <row r="62" spans="2:3" x14ac:dyDescent="0.5">
      <c r="B62" s="14">
        <v>46180</v>
      </c>
      <c r="C62" s="15">
        <v>2541.8000000000002</v>
      </c>
    </row>
    <row r="63" spans="2:3" x14ac:dyDescent="0.5">
      <c r="B63" s="14">
        <v>46181</v>
      </c>
      <c r="C63" s="15">
        <v>2542.1999999999998</v>
      </c>
    </row>
    <row r="64" spans="2:3" x14ac:dyDescent="0.5">
      <c r="B64" s="14">
        <v>46182</v>
      </c>
      <c r="C64" s="15">
        <v>2542.4</v>
      </c>
    </row>
    <row r="65" spans="2:3" x14ac:dyDescent="0.5">
      <c r="B65" s="14">
        <v>46183</v>
      </c>
      <c r="C65" s="15">
        <v>2542.4</v>
      </c>
    </row>
    <row r="66" spans="2:3" x14ac:dyDescent="0.5">
      <c r="B66" s="14">
        <v>46184</v>
      </c>
      <c r="C66" s="15">
        <v>2542.1999999999998</v>
      </c>
    </row>
    <row r="67" spans="2:3" x14ac:dyDescent="0.5">
      <c r="B67" s="14">
        <v>46185</v>
      </c>
      <c r="C67" s="15">
        <v>2542</v>
      </c>
    </row>
    <row r="68" spans="2:3" x14ac:dyDescent="0.5">
      <c r="B68" s="14">
        <v>46186</v>
      </c>
      <c r="C68" s="15">
        <v>2541.8000000000002</v>
      </c>
    </row>
    <row r="69" spans="2:3" x14ac:dyDescent="0.5">
      <c r="B69" s="14">
        <v>46187</v>
      </c>
      <c r="C69" s="15">
        <v>2541.6999999999998</v>
      </c>
    </row>
    <row r="70" spans="2:3" x14ac:dyDescent="0.5">
      <c r="B70" s="14">
        <v>46188</v>
      </c>
      <c r="C70" s="15">
        <v>2541.6</v>
      </c>
    </row>
    <row r="71" spans="2:3" x14ac:dyDescent="0.5">
      <c r="B71" s="14">
        <v>46189</v>
      </c>
      <c r="C71" s="15">
        <v>2541.5</v>
      </c>
    </row>
    <row r="72" spans="2:3" x14ac:dyDescent="0.5">
      <c r="B72" s="14">
        <v>46190</v>
      </c>
      <c r="C72" s="15">
        <v>2541.4</v>
      </c>
    </row>
    <row r="73" spans="2:3" x14ac:dyDescent="0.5">
      <c r="B73" s="14">
        <v>46191</v>
      </c>
      <c r="C73" s="15">
        <v>2541.4</v>
      </c>
    </row>
    <row r="74" spans="2:3" x14ac:dyDescent="0.5">
      <c r="B74" s="14">
        <v>46192</v>
      </c>
      <c r="C74" s="15">
        <v>2541.3000000000002</v>
      </c>
    </row>
    <row r="75" spans="2:3" x14ac:dyDescent="0.5">
      <c r="B75" s="14">
        <v>46193</v>
      </c>
      <c r="C75" s="15">
        <v>2541.3000000000002</v>
      </c>
    </row>
    <row r="76" spans="2:3" x14ac:dyDescent="0.5">
      <c r="B76" s="14">
        <v>46194</v>
      </c>
      <c r="C76" s="15">
        <v>2541.1999999999998</v>
      </c>
    </row>
    <row r="77" spans="2:3" x14ac:dyDescent="0.5">
      <c r="B77" s="14">
        <v>46195</v>
      </c>
      <c r="C77" s="15">
        <v>2541.1999999999998</v>
      </c>
    </row>
    <row r="78" spans="2:3" x14ac:dyDescent="0.5">
      <c r="B78" s="14">
        <v>46196</v>
      </c>
      <c r="C78" s="15">
        <v>2541.1</v>
      </c>
    </row>
    <row r="79" spans="2:3" x14ac:dyDescent="0.5">
      <c r="B79" s="14">
        <v>46197</v>
      </c>
      <c r="C79" s="15">
        <v>2541.1</v>
      </c>
    </row>
    <row r="80" spans="2:3" x14ac:dyDescent="0.5">
      <c r="B80" s="14">
        <v>46198</v>
      </c>
      <c r="C80" s="15">
        <v>2541.1</v>
      </c>
    </row>
    <row r="81" spans="2:3" x14ac:dyDescent="0.5">
      <c r="B81" s="14">
        <v>46199</v>
      </c>
      <c r="C81" s="15">
        <v>2541</v>
      </c>
    </row>
    <row r="82" spans="2:3" x14ac:dyDescent="0.5">
      <c r="B82" s="14">
        <v>46200</v>
      </c>
      <c r="C82" s="15">
        <v>2541</v>
      </c>
    </row>
    <row r="83" spans="2:3" x14ac:dyDescent="0.5">
      <c r="B83" s="14">
        <v>46201</v>
      </c>
      <c r="C83" s="15">
        <v>2541</v>
      </c>
    </row>
    <row r="84" spans="2:3" x14ac:dyDescent="0.5">
      <c r="B84" s="14">
        <v>46202</v>
      </c>
      <c r="C84" s="15">
        <v>2541</v>
      </c>
    </row>
    <row r="85" spans="2:3" x14ac:dyDescent="0.5">
      <c r="B85" s="14">
        <v>46203</v>
      </c>
      <c r="C85" s="15">
        <v>2541</v>
      </c>
    </row>
    <row r="86" spans="2:3" x14ac:dyDescent="0.5">
      <c r="B86" s="14">
        <v>46204</v>
      </c>
      <c r="C86" s="15">
        <v>2541.1999999999998</v>
      </c>
    </row>
    <row r="87" spans="2:3" x14ac:dyDescent="0.5">
      <c r="B87" s="14">
        <v>46205</v>
      </c>
      <c r="C87" s="15">
        <v>2541.5</v>
      </c>
    </row>
    <row r="88" spans="2:3" x14ac:dyDescent="0.5">
      <c r="B88" s="14">
        <v>46206</v>
      </c>
      <c r="C88" s="15">
        <v>2541.6</v>
      </c>
    </row>
    <row r="89" spans="2:3" x14ac:dyDescent="0.5">
      <c r="B89" s="14">
        <v>46207</v>
      </c>
      <c r="C89" s="15">
        <v>2541.6</v>
      </c>
    </row>
    <row r="90" spans="2:3" x14ac:dyDescent="0.5">
      <c r="B90" s="14">
        <v>46208</v>
      </c>
      <c r="C90" s="15">
        <v>2541.6999999999998</v>
      </c>
    </row>
    <row r="91" spans="2:3" x14ac:dyDescent="0.5">
      <c r="B91" s="14">
        <v>46209</v>
      </c>
      <c r="C91" s="15">
        <v>2541.9</v>
      </c>
    </row>
    <row r="92" spans="2:3" x14ac:dyDescent="0.5">
      <c r="B92" s="7"/>
      <c r="C92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7096-C00A-4FD0-835E-FAB42C8173A6}">
  <dimension ref="B2:F248"/>
  <sheetViews>
    <sheetView showGridLines="0" topLeftCell="A210" zoomScale="115" zoomScaleNormal="115" workbookViewId="0">
      <selection activeCell="D28" sqref="D28:D248"/>
    </sheetView>
  </sheetViews>
  <sheetFormatPr defaultRowHeight="16.350000000000001" x14ac:dyDescent="0.5"/>
  <cols>
    <col min="1" max="1" width="2.64453125" style="9" customWidth="1"/>
    <col min="2" max="3" width="17.76171875" style="9" customWidth="1"/>
    <col min="4" max="4" width="16.234375" style="9" customWidth="1"/>
    <col min="5" max="16384" width="8.9375" style="9"/>
  </cols>
  <sheetData>
    <row r="2" spans="2:6" x14ac:dyDescent="0.5">
      <c r="B2" s="9" t="s">
        <v>44</v>
      </c>
    </row>
    <row r="5" spans="2:6" x14ac:dyDescent="0.5">
      <c r="B5" s="9" t="s">
        <v>29</v>
      </c>
    </row>
    <row r="6" spans="2:6" x14ac:dyDescent="0.5">
      <c r="B6" s="9" t="s">
        <v>25</v>
      </c>
      <c r="C6" s="9" t="s">
        <v>26</v>
      </c>
      <c r="D6" s="9" t="s">
        <v>47</v>
      </c>
      <c r="E6" s="9" t="s">
        <v>46</v>
      </c>
      <c r="F6" s="9" t="s">
        <v>48</v>
      </c>
    </row>
    <row r="7" spans="2:6" x14ac:dyDescent="0.5">
      <c r="B7" s="9" t="s">
        <v>27</v>
      </c>
      <c r="C7" s="9" t="s">
        <v>28</v>
      </c>
      <c r="D7" s="9">
        <v>0</v>
      </c>
      <c r="E7" s="9">
        <v>0</v>
      </c>
      <c r="F7" s="9">
        <v>2545.7391339999999</v>
      </c>
    </row>
    <row r="8" spans="2:6" x14ac:dyDescent="0.5">
      <c r="B8" s="9" t="s">
        <v>27</v>
      </c>
      <c r="C8" s="9" t="s">
        <v>28</v>
      </c>
      <c r="D8" s="9">
        <v>0</v>
      </c>
      <c r="E8" s="9">
        <v>12.399134</v>
      </c>
      <c r="F8" s="9">
        <v>2545.7391339999999</v>
      </c>
    </row>
    <row r="9" spans="2:6" x14ac:dyDescent="0.5">
      <c r="B9" s="9" t="s">
        <v>27</v>
      </c>
      <c r="C9" s="9" t="s">
        <v>28</v>
      </c>
      <c r="D9" s="9">
        <v>0</v>
      </c>
      <c r="E9" s="9">
        <v>24.197402</v>
      </c>
      <c r="F9" s="9">
        <v>2539.84</v>
      </c>
    </row>
    <row r="10" spans="2:6" x14ac:dyDescent="0.5">
      <c r="B10" s="9" t="s">
        <v>27</v>
      </c>
      <c r="C10" s="9" t="s">
        <v>28</v>
      </c>
      <c r="D10" s="9">
        <v>0</v>
      </c>
      <c r="E10" s="9">
        <v>50.197401999999997</v>
      </c>
      <c r="F10" s="9">
        <v>2539.84</v>
      </c>
    </row>
    <row r="11" spans="2:6" x14ac:dyDescent="0.5">
      <c r="B11" s="9" t="s">
        <v>27</v>
      </c>
      <c r="C11" s="9" t="s">
        <v>28</v>
      </c>
      <c r="D11" s="9">
        <v>0</v>
      </c>
      <c r="E11" s="9">
        <v>61.995669999999997</v>
      </c>
      <c r="F11" s="9">
        <v>2545.7391339999999</v>
      </c>
    </row>
    <row r="12" spans="2:6" x14ac:dyDescent="0.5">
      <c r="B12" s="9" t="s">
        <v>27</v>
      </c>
      <c r="C12" s="9" t="s">
        <v>28</v>
      </c>
      <c r="D12" s="9">
        <v>0</v>
      </c>
      <c r="E12" s="9">
        <v>74.394805000000005</v>
      </c>
      <c r="F12" s="9">
        <v>2545.7391339999999</v>
      </c>
    </row>
    <row r="13" spans="2:6" x14ac:dyDescent="0.5">
      <c r="B13" s="9" t="s">
        <v>27</v>
      </c>
      <c r="C13" s="9" t="s">
        <v>28</v>
      </c>
      <c r="D13" s="9">
        <v>1000</v>
      </c>
      <c r="E13" s="9">
        <v>0</v>
      </c>
      <c r="F13" s="9">
        <v>2545.8091340000001</v>
      </c>
    </row>
    <row r="14" spans="2:6" x14ac:dyDescent="0.5">
      <c r="B14" s="9" t="s">
        <v>27</v>
      </c>
      <c r="C14" s="9" t="s">
        <v>28</v>
      </c>
      <c r="D14" s="9">
        <v>1000</v>
      </c>
      <c r="E14" s="9">
        <v>12.399134</v>
      </c>
      <c r="F14" s="9">
        <v>2545.8091340000001</v>
      </c>
    </row>
    <row r="15" spans="2:6" x14ac:dyDescent="0.5">
      <c r="B15" s="9" t="s">
        <v>27</v>
      </c>
      <c r="C15" s="9" t="s">
        <v>28</v>
      </c>
      <c r="D15" s="9">
        <v>1000</v>
      </c>
      <c r="E15" s="9">
        <v>24.197402</v>
      </c>
      <c r="F15" s="9">
        <v>2539.91</v>
      </c>
    </row>
    <row r="16" spans="2:6" x14ac:dyDescent="0.5">
      <c r="B16" s="9" t="s">
        <v>27</v>
      </c>
      <c r="C16" s="9" t="s">
        <v>28</v>
      </c>
      <c r="D16" s="9">
        <v>1000</v>
      </c>
      <c r="E16" s="9">
        <v>50.197401999999997</v>
      </c>
      <c r="F16" s="9">
        <v>2539.91</v>
      </c>
    </row>
    <row r="17" spans="2:6" x14ac:dyDescent="0.5">
      <c r="B17" s="9" t="s">
        <v>27</v>
      </c>
      <c r="C17" s="9" t="s">
        <v>28</v>
      </c>
      <c r="D17" s="9">
        <v>1000</v>
      </c>
      <c r="E17" s="9">
        <v>61.995669999999997</v>
      </c>
      <c r="F17" s="9">
        <v>2545.8091340000001</v>
      </c>
    </row>
    <row r="18" spans="2:6" x14ac:dyDescent="0.5">
      <c r="B18" s="9" t="s">
        <v>27</v>
      </c>
      <c r="C18" s="9" t="s">
        <v>28</v>
      </c>
      <c r="D18" s="9">
        <v>1000</v>
      </c>
      <c r="E18" s="9">
        <v>74.394805000000005</v>
      </c>
      <c r="F18" s="9">
        <v>2545.8091340000001</v>
      </c>
    </row>
    <row r="20" spans="2:6" x14ac:dyDescent="0.5">
      <c r="B20" s="9" t="s">
        <v>32</v>
      </c>
    </row>
    <row r="21" spans="2:6" x14ac:dyDescent="0.5">
      <c r="B21" s="10" t="s">
        <v>30</v>
      </c>
      <c r="C21" s="10" t="s">
        <v>31</v>
      </c>
    </row>
    <row r="22" spans="2:6" x14ac:dyDescent="0.5">
      <c r="B22" s="10">
        <v>4880508</v>
      </c>
      <c r="C22" s="10">
        <v>2088675</v>
      </c>
    </row>
    <row r="23" spans="2:6" x14ac:dyDescent="0.5">
      <c r="B23" s="9">
        <v>4879508</v>
      </c>
      <c r="C23" s="9">
        <v>2088675</v>
      </c>
    </row>
    <row r="25" spans="2:6" x14ac:dyDescent="0.5">
      <c r="B25" s="9" t="s">
        <v>33</v>
      </c>
    </row>
    <row r="26" spans="2:6" x14ac:dyDescent="0.5">
      <c r="B26" s="9" t="s">
        <v>34</v>
      </c>
    </row>
    <row r="27" spans="2:6" x14ac:dyDescent="0.5">
      <c r="B27" s="9" t="s">
        <v>24</v>
      </c>
      <c r="C27" s="9" t="s">
        <v>23</v>
      </c>
      <c r="D27" s="9" t="s">
        <v>35</v>
      </c>
    </row>
    <row r="28" spans="2:6" x14ac:dyDescent="0.5">
      <c r="B28" s="9">
        <v>0</v>
      </c>
      <c r="C28" s="9">
        <v>0</v>
      </c>
      <c r="D28" s="9">
        <v>0</v>
      </c>
    </row>
    <row r="29" spans="2:6" x14ac:dyDescent="0.5">
      <c r="B29" s="9">
        <v>1</v>
      </c>
      <c r="C29" s="9">
        <v>0.25</v>
      </c>
      <c r="D29" s="9">
        <v>23.333333</v>
      </c>
    </row>
    <row r="30" spans="2:6" x14ac:dyDescent="0.5">
      <c r="B30" s="9">
        <v>2</v>
      </c>
      <c r="C30" s="9">
        <v>0.5</v>
      </c>
      <c r="D30" s="9">
        <v>46.666666999999997</v>
      </c>
    </row>
    <row r="31" spans="2:6" x14ac:dyDescent="0.5">
      <c r="B31" s="9">
        <v>3</v>
      </c>
      <c r="C31" s="9">
        <v>0.75</v>
      </c>
      <c r="D31" s="9">
        <v>70</v>
      </c>
    </row>
    <row r="32" spans="2:6" x14ac:dyDescent="0.5">
      <c r="B32" s="9">
        <v>4</v>
      </c>
      <c r="C32" s="9">
        <v>1</v>
      </c>
      <c r="D32" s="9">
        <v>93.333332999999996</v>
      </c>
    </row>
    <row r="33" spans="2:4" x14ac:dyDescent="0.5">
      <c r="B33" s="9">
        <v>5</v>
      </c>
      <c r="C33" s="9">
        <v>1.25</v>
      </c>
      <c r="D33" s="9">
        <v>116.666667</v>
      </c>
    </row>
    <row r="34" spans="2:4" x14ac:dyDescent="0.5">
      <c r="B34" s="9">
        <v>6</v>
      </c>
      <c r="C34" s="9">
        <v>1.5</v>
      </c>
      <c r="D34" s="9">
        <v>140</v>
      </c>
    </row>
    <row r="35" spans="2:4" x14ac:dyDescent="0.5">
      <c r="B35" s="9">
        <v>7</v>
      </c>
      <c r="C35" s="9">
        <v>1.75</v>
      </c>
      <c r="D35" s="9">
        <v>126</v>
      </c>
    </row>
    <row r="36" spans="2:4" x14ac:dyDescent="0.5">
      <c r="B36" s="9">
        <v>8</v>
      </c>
      <c r="C36" s="9">
        <v>2</v>
      </c>
      <c r="D36" s="9">
        <v>112</v>
      </c>
    </row>
    <row r="37" spans="2:4" x14ac:dyDescent="0.5">
      <c r="B37" s="9">
        <v>9</v>
      </c>
      <c r="C37" s="9">
        <v>2.25</v>
      </c>
      <c r="D37" s="9">
        <v>98</v>
      </c>
    </row>
    <row r="38" spans="2:4" x14ac:dyDescent="0.5">
      <c r="B38" s="9">
        <v>10</v>
      </c>
      <c r="C38" s="9">
        <v>2.5</v>
      </c>
      <c r="D38" s="9">
        <v>84</v>
      </c>
    </row>
    <row r="39" spans="2:4" x14ac:dyDescent="0.5">
      <c r="B39" s="9">
        <v>11</v>
      </c>
      <c r="C39" s="9">
        <v>2.75</v>
      </c>
      <c r="D39" s="9">
        <v>70</v>
      </c>
    </row>
    <row r="40" spans="2:4" x14ac:dyDescent="0.5">
      <c r="B40" s="9">
        <v>12</v>
      </c>
      <c r="C40" s="9">
        <v>3</v>
      </c>
      <c r="D40" s="9">
        <v>56</v>
      </c>
    </row>
    <row r="41" spans="2:4" x14ac:dyDescent="0.5">
      <c r="B41" s="9">
        <v>13</v>
      </c>
      <c r="C41" s="9">
        <v>3.25</v>
      </c>
      <c r="D41" s="9">
        <v>42</v>
      </c>
    </row>
    <row r="42" spans="2:4" x14ac:dyDescent="0.5">
      <c r="B42" s="9">
        <v>14</v>
      </c>
      <c r="C42" s="9">
        <v>3.5</v>
      </c>
      <c r="D42" s="9">
        <v>28</v>
      </c>
    </row>
    <row r="43" spans="2:4" x14ac:dyDescent="0.5">
      <c r="B43" s="9">
        <v>15</v>
      </c>
      <c r="C43" s="9">
        <v>3.75</v>
      </c>
      <c r="D43" s="9">
        <v>14</v>
      </c>
    </row>
    <row r="44" spans="2:4" x14ac:dyDescent="0.5">
      <c r="B44" s="9">
        <v>16</v>
      </c>
      <c r="C44" s="9">
        <v>4</v>
      </c>
      <c r="D44" s="9">
        <v>0</v>
      </c>
    </row>
    <row r="45" spans="2:4" x14ac:dyDescent="0.5">
      <c r="B45" s="9">
        <v>17</v>
      </c>
      <c r="C45" s="9">
        <v>4.25</v>
      </c>
      <c r="D45" s="9">
        <v>0</v>
      </c>
    </row>
    <row r="46" spans="2:4" x14ac:dyDescent="0.5">
      <c r="B46" s="9">
        <v>18</v>
      </c>
      <c r="C46" s="9">
        <v>4.5</v>
      </c>
      <c r="D46" s="9">
        <v>0</v>
      </c>
    </row>
    <row r="47" spans="2:4" x14ac:dyDescent="0.5">
      <c r="B47" s="9">
        <v>19</v>
      </c>
      <c r="C47" s="9">
        <v>4.75</v>
      </c>
      <c r="D47" s="9">
        <v>0</v>
      </c>
    </row>
    <row r="48" spans="2:4" x14ac:dyDescent="0.5">
      <c r="B48" s="9">
        <v>20</v>
      </c>
      <c r="C48" s="9">
        <v>5</v>
      </c>
      <c r="D48" s="9">
        <v>0</v>
      </c>
    </row>
    <row r="49" spans="2:4" x14ac:dyDescent="0.5">
      <c r="B49" s="9">
        <v>21</v>
      </c>
      <c r="C49" s="9">
        <v>5.25</v>
      </c>
      <c r="D49" s="9">
        <v>0</v>
      </c>
    </row>
    <row r="50" spans="2:4" x14ac:dyDescent="0.5">
      <c r="B50" s="9">
        <v>22</v>
      </c>
      <c r="C50" s="9">
        <v>5.5</v>
      </c>
      <c r="D50" s="9">
        <v>0</v>
      </c>
    </row>
    <row r="51" spans="2:4" x14ac:dyDescent="0.5">
      <c r="B51" s="9">
        <v>23</v>
      </c>
      <c r="C51" s="9">
        <v>5.75</v>
      </c>
      <c r="D51" s="9">
        <v>0</v>
      </c>
    </row>
    <row r="52" spans="2:4" x14ac:dyDescent="0.5">
      <c r="B52" s="9">
        <v>24</v>
      </c>
      <c r="C52" s="9">
        <v>6</v>
      </c>
      <c r="D52" s="9">
        <v>0</v>
      </c>
    </row>
    <row r="53" spans="2:4" x14ac:dyDescent="0.5">
      <c r="B53" s="9">
        <v>25</v>
      </c>
      <c r="C53" s="9">
        <v>6.25</v>
      </c>
      <c r="D53" s="9">
        <v>0</v>
      </c>
    </row>
    <row r="54" spans="2:4" x14ac:dyDescent="0.5">
      <c r="B54" s="9">
        <v>26</v>
      </c>
      <c r="C54" s="9">
        <v>6.5</v>
      </c>
      <c r="D54" s="9">
        <v>0</v>
      </c>
    </row>
    <row r="55" spans="2:4" x14ac:dyDescent="0.5">
      <c r="B55" s="9">
        <v>27</v>
      </c>
      <c r="C55" s="9">
        <v>6.75</v>
      </c>
      <c r="D55" s="9">
        <v>0</v>
      </c>
    </row>
    <row r="56" spans="2:4" x14ac:dyDescent="0.5">
      <c r="B56" s="9">
        <v>28</v>
      </c>
      <c r="C56" s="9">
        <v>7</v>
      </c>
      <c r="D56" s="9">
        <v>0</v>
      </c>
    </row>
    <row r="57" spans="2:4" x14ac:dyDescent="0.5">
      <c r="B57" s="9">
        <v>29</v>
      </c>
      <c r="C57" s="9">
        <v>7.25</v>
      </c>
      <c r="D57" s="9">
        <v>0</v>
      </c>
    </row>
    <row r="58" spans="2:4" x14ac:dyDescent="0.5">
      <c r="B58" s="9">
        <v>30</v>
      </c>
      <c r="C58" s="9">
        <v>7.5</v>
      </c>
      <c r="D58" s="9">
        <v>0</v>
      </c>
    </row>
    <row r="59" spans="2:4" x14ac:dyDescent="0.5">
      <c r="B59" s="9">
        <v>31</v>
      </c>
      <c r="C59" s="9">
        <v>7.75</v>
      </c>
      <c r="D59" s="9">
        <v>0</v>
      </c>
    </row>
    <row r="60" spans="2:4" x14ac:dyDescent="0.5">
      <c r="B60" s="9">
        <v>32</v>
      </c>
      <c r="C60" s="9">
        <v>8</v>
      </c>
      <c r="D60" s="9">
        <v>0</v>
      </c>
    </row>
    <row r="61" spans="2:4" x14ac:dyDescent="0.5">
      <c r="B61" s="9">
        <v>33</v>
      </c>
      <c r="C61" s="9">
        <v>8.25</v>
      </c>
      <c r="D61" s="9">
        <v>0</v>
      </c>
    </row>
    <row r="62" spans="2:4" x14ac:dyDescent="0.5">
      <c r="B62" s="9">
        <v>34</v>
      </c>
      <c r="C62" s="9">
        <v>8.5</v>
      </c>
      <c r="D62" s="9">
        <v>0</v>
      </c>
    </row>
    <row r="63" spans="2:4" x14ac:dyDescent="0.5">
      <c r="B63" s="9">
        <v>35</v>
      </c>
      <c r="C63" s="9">
        <v>8.75</v>
      </c>
      <c r="D63" s="9">
        <v>0</v>
      </c>
    </row>
    <row r="64" spans="2:4" x14ac:dyDescent="0.5">
      <c r="B64" s="9">
        <v>36</v>
      </c>
      <c r="C64" s="9">
        <v>9</v>
      </c>
      <c r="D64" s="9">
        <v>0</v>
      </c>
    </row>
    <row r="65" spans="2:4" x14ac:dyDescent="0.5">
      <c r="B65" s="9">
        <v>37</v>
      </c>
      <c r="C65" s="9">
        <v>9.25</v>
      </c>
      <c r="D65" s="9">
        <v>0</v>
      </c>
    </row>
    <row r="66" spans="2:4" x14ac:dyDescent="0.5">
      <c r="B66" s="9">
        <v>38</v>
      </c>
      <c r="C66" s="9">
        <v>9.5</v>
      </c>
      <c r="D66" s="9">
        <v>0</v>
      </c>
    </row>
    <row r="67" spans="2:4" x14ac:dyDescent="0.5">
      <c r="B67" s="9">
        <v>39</v>
      </c>
      <c r="C67" s="9">
        <v>9.75</v>
      </c>
      <c r="D67" s="9">
        <v>0</v>
      </c>
    </row>
    <row r="68" spans="2:4" x14ac:dyDescent="0.5">
      <c r="B68" s="9">
        <v>40</v>
      </c>
      <c r="C68" s="9">
        <v>10</v>
      </c>
      <c r="D68" s="9">
        <v>0</v>
      </c>
    </row>
    <row r="69" spans="2:4" x14ac:dyDescent="0.5">
      <c r="B69" s="9">
        <v>41</v>
      </c>
      <c r="C69" s="9">
        <v>10.25</v>
      </c>
      <c r="D69" s="9">
        <v>0</v>
      </c>
    </row>
    <row r="70" spans="2:4" x14ac:dyDescent="0.5">
      <c r="B70" s="9">
        <v>42</v>
      </c>
      <c r="C70" s="9">
        <v>10.5</v>
      </c>
      <c r="D70" s="9">
        <v>0</v>
      </c>
    </row>
    <row r="71" spans="2:4" x14ac:dyDescent="0.5">
      <c r="B71" s="9">
        <v>43</v>
      </c>
      <c r="C71" s="9">
        <v>10.75</v>
      </c>
      <c r="D71" s="9">
        <v>0</v>
      </c>
    </row>
    <row r="72" spans="2:4" x14ac:dyDescent="0.5">
      <c r="B72" s="9">
        <v>44</v>
      </c>
      <c r="C72" s="9">
        <v>11</v>
      </c>
      <c r="D72" s="9">
        <v>0</v>
      </c>
    </row>
    <row r="73" spans="2:4" x14ac:dyDescent="0.5">
      <c r="B73" s="9">
        <v>45</v>
      </c>
      <c r="C73" s="9">
        <v>11.25</v>
      </c>
      <c r="D73" s="9">
        <v>0</v>
      </c>
    </row>
    <row r="74" spans="2:4" x14ac:dyDescent="0.5">
      <c r="B74" s="9">
        <v>46</v>
      </c>
      <c r="C74" s="9">
        <v>11.5</v>
      </c>
      <c r="D74" s="9">
        <v>0</v>
      </c>
    </row>
    <row r="75" spans="2:4" x14ac:dyDescent="0.5">
      <c r="B75" s="9">
        <v>47</v>
      </c>
      <c r="C75" s="9">
        <v>11.75</v>
      </c>
      <c r="D75" s="9">
        <v>0</v>
      </c>
    </row>
    <row r="76" spans="2:4" x14ac:dyDescent="0.5">
      <c r="B76" s="9">
        <v>48</v>
      </c>
      <c r="C76" s="9">
        <v>12</v>
      </c>
      <c r="D76" s="9">
        <v>0</v>
      </c>
    </row>
    <row r="77" spans="2:4" x14ac:dyDescent="0.5">
      <c r="B77" s="9">
        <v>49</v>
      </c>
      <c r="C77" s="9">
        <v>12.25</v>
      </c>
      <c r="D77" s="9">
        <v>0</v>
      </c>
    </row>
    <row r="78" spans="2:4" x14ac:dyDescent="0.5">
      <c r="B78" s="9">
        <v>50</v>
      </c>
      <c r="C78" s="9">
        <v>12.5</v>
      </c>
      <c r="D78" s="9">
        <v>0</v>
      </c>
    </row>
    <row r="79" spans="2:4" x14ac:dyDescent="0.5">
      <c r="B79" s="9">
        <v>51</v>
      </c>
      <c r="C79" s="9">
        <v>12.75</v>
      </c>
      <c r="D79" s="9">
        <v>0</v>
      </c>
    </row>
    <row r="80" spans="2:4" x14ac:dyDescent="0.5">
      <c r="B80" s="9">
        <v>52</v>
      </c>
      <c r="C80" s="9">
        <v>13</v>
      </c>
      <c r="D80" s="9">
        <v>0</v>
      </c>
    </row>
    <row r="81" spans="2:4" x14ac:dyDescent="0.5">
      <c r="B81" s="9">
        <v>53</v>
      </c>
      <c r="C81" s="9">
        <v>13.25</v>
      </c>
      <c r="D81" s="9">
        <v>0</v>
      </c>
    </row>
    <row r="82" spans="2:4" x14ac:dyDescent="0.5">
      <c r="B82" s="9">
        <v>54</v>
      </c>
      <c r="C82" s="9">
        <v>13.5</v>
      </c>
      <c r="D82" s="9">
        <v>0</v>
      </c>
    </row>
    <row r="83" spans="2:4" x14ac:dyDescent="0.5">
      <c r="B83" s="9">
        <v>55</v>
      </c>
      <c r="C83" s="9">
        <v>13.75</v>
      </c>
      <c r="D83" s="9">
        <v>0</v>
      </c>
    </row>
    <row r="84" spans="2:4" x14ac:dyDescent="0.5">
      <c r="B84" s="9">
        <v>56</v>
      </c>
      <c r="C84" s="9">
        <v>14</v>
      </c>
      <c r="D84" s="9">
        <v>0</v>
      </c>
    </row>
    <row r="85" spans="2:4" x14ac:dyDescent="0.5">
      <c r="B85" s="9">
        <v>57</v>
      </c>
      <c r="C85" s="9">
        <v>14.25</v>
      </c>
      <c r="D85" s="9">
        <v>0</v>
      </c>
    </row>
    <row r="86" spans="2:4" x14ac:dyDescent="0.5">
      <c r="B86" s="9">
        <v>58</v>
      </c>
      <c r="C86" s="9">
        <v>14.5</v>
      </c>
      <c r="D86" s="9">
        <v>0</v>
      </c>
    </row>
    <row r="87" spans="2:4" x14ac:dyDescent="0.5">
      <c r="B87" s="9">
        <v>59</v>
      </c>
      <c r="C87" s="9">
        <v>14.75</v>
      </c>
      <c r="D87" s="9">
        <v>0</v>
      </c>
    </row>
    <row r="88" spans="2:4" x14ac:dyDescent="0.5">
      <c r="B88" s="9">
        <v>60</v>
      </c>
      <c r="C88" s="9">
        <v>15</v>
      </c>
      <c r="D88" s="9">
        <v>0</v>
      </c>
    </row>
    <row r="89" spans="2:4" x14ac:dyDescent="0.5">
      <c r="B89" s="9">
        <v>61</v>
      </c>
      <c r="C89" s="9">
        <v>15.25</v>
      </c>
      <c r="D89" s="9">
        <v>0</v>
      </c>
    </row>
    <row r="90" spans="2:4" x14ac:dyDescent="0.5">
      <c r="B90" s="9">
        <v>62</v>
      </c>
      <c r="C90" s="9">
        <v>15.5</v>
      </c>
      <c r="D90" s="9">
        <v>0</v>
      </c>
    </row>
    <row r="91" spans="2:4" x14ac:dyDescent="0.5">
      <c r="B91" s="9">
        <v>63</v>
      </c>
      <c r="C91" s="9">
        <v>15.75</v>
      </c>
      <c r="D91" s="9">
        <v>0</v>
      </c>
    </row>
    <row r="92" spans="2:4" x14ac:dyDescent="0.5">
      <c r="B92" s="9">
        <v>64</v>
      </c>
      <c r="C92" s="9">
        <v>16</v>
      </c>
      <c r="D92" s="9">
        <v>0</v>
      </c>
    </row>
    <row r="93" spans="2:4" x14ac:dyDescent="0.5">
      <c r="B93" s="9">
        <v>65</v>
      </c>
      <c r="C93" s="9">
        <v>16.25</v>
      </c>
      <c r="D93" s="9">
        <v>0</v>
      </c>
    </row>
    <row r="94" spans="2:4" x14ac:dyDescent="0.5">
      <c r="B94" s="9">
        <v>66</v>
      </c>
      <c r="C94" s="9">
        <v>16.5</v>
      </c>
      <c r="D94" s="9">
        <v>0</v>
      </c>
    </row>
    <row r="95" spans="2:4" x14ac:dyDescent="0.5">
      <c r="B95" s="9">
        <v>67</v>
      </c>
      <c r="C95" s="9">
        <v>16.75</v>
      </c>
      <c r="D95" s="9">
        <v>0</v>
      </c>
    </row>
    <row r="96" spans="2:4" x14ac:dyDescent="0.5">
      <c r="B96" s="9">
        <v>68</v>
      </c>
      <c r="C96" s="9">
        <v>17</v>
      </c>
      <c r="D96" s="9">
        <v>0</v>
      </c>
    </row>
    <row r="97" spans="2:4" x14ac:dyDescent="0.5">
      <c r="B97" s="9">
        <v>69</v>
      </c>
      <c r="C97" s="9">
        <v>17.25</v>
      </c>
      <c r="D97" s="9">
        <v>0</v>
      </c>
    </row>
    <row r="98" spans="2:4" x14ac:dyDescent="0.5">
      <c r="B98" s="9">
        <v>70</v>
      </c>
      <c r="C98" s="9">
        <v>17.5</v>
      </c>
      <c r="D98" s="9">
        <v>0</v>
      </c>
    </row>
    <row r="99" spans="2:4" x14ac:dyDescent="0.5">
      <c r="B99" s="9">
        <v>71</v>
      </c>
      <c r="C99" s="9">
        <v>17.75</v>
      </c>
      <c r="D99" s="9">
        <v>0</v>
      </c>
    </row>
    <row r="100" spans="2:4" x14ac:dyDescent="0.5">
      <c r="B100" s="9">
        <v>72</v>
      </c>
      <c r="C100" s="9">
        <v>18</v>
      </c>
      <c r="D100" s="9">
        <v>0</v>
      </c>
    </row>
    <row r="101" spans="2:4" x14ac:dyDescent="0.5">
      <c r="B101" s="9">
        <v>73</v>
      </c>
      <c r="C101" s="9">
        <v>18.25</v>
      </c>
      <c r="D101" s="9">
        <v>0</v>
      </c>
    </row>
    <row r="102" spans="2:4" x14ac:dyDescent="0.5">
      <c r="B102" s="9">
        <v>74</v>
      </c>
      <c r="C102" s="9">
        <v>18.5</v>
      </c>
      <c r="D102" s="9">
        <v>0</v>
      </c>
    </row>
    <row r="103" spans="2:4" x14ac:dyDescent="0.5">
      <c r="B103" s="9">
        <v>75</v>
      </c>
      <c r="C103" s="9">
        <v>18.75</v>
      </c>
      <c r="D103" s="9">
        <v>0</v>
      </c>
    </row>
    <row r="104" spans="2:4" x14ac:dyDescent="0.5">
      <c r="B104" s="9">
        <v>76</v>
      </c>
      <c r="C104" s="9">
        <v>19</v>
      </c>
      <c r="D104" s="9">
        <v>0</v>
      </c>
    </row>
    <row r="105" spans="2:4" x14ac:dyDescent="0.5">
      <c r="B105" s="9">
        <v>77</v>
      </c>
      <c r="C105" s="9">
        <v>19.25</v>
      </c>
      <c r="D105" s="9">
        <v>0</v>
      </c>
    </row>
    <row r="106" spans="2:4" x14ac:dyDescent="0.5">
      <c r="B106" s="9">
        <v>78</v>
      </c>
      <c r="C106" s="9">
        <v>19.5</v>
      </c>
      <c r="D106" s="9">
        <v>0</v>
      </c>
    </row>
    <row r="107" spans="2:4" x14ac:dyDescent="0.5">
      <c r="B107" s="9">
        <v>79</v>
      </c>
      <c r="C107" s="9">
        <v>19.75</v>
      </c>
      <c r="D107" s="9">
        <v>0</v>
      </c>
    </row>
    <row r="108" spans="2:4" x14ac:dyDescent="0.5">
      <c r="B108" s="9">
        <v>80</v>
      </c>
      <c r="C108" s="9">
        <v>20</v>
      </c>
      <c r="D108" s="9">
        <v>0</v>
      </c>
    </row>
    <row r="109" spans="2:4" x14ac:dyDescent="0.5">
      <c r="B109" s="9">
        <v>81</v>
      </c>
      <c r="C109" s="9">
        <v>20.25</v>
      </c>
      <c r="D109" s="9">
        <v>0</v>
      </c>
    </row>
    <row r="110" spans="2:4" x14ac:dyDescent="0.5">
      <c r="B110" s="9">
        <v>82</v>
      </c>
      <c r="C110" s="9">
        <v>20.5</v>
      </c>
      <c r="D110" s="9">
        <v>0</v>
      </c>
    </row>
    <row r="111" spans="2:4" x14ac:dyDescent="0.5">
      <c r="B111" s="9">
        <v>83</v>
      </c>
      <c r="C111" s="9">
        <v>20.75</v>
      </c>
      <c r="D111" s="9">
        <v>0</v>
      </c>
    </row>
    <row r="112" spans="2:4" x14ac:dyDescent="0.5">
      <c r="B112" s="9">
        <v>84</v>
      </c>
      <c r="C112" s="9">
        <v>21</v>
      </c>
      <c r="D112" s="9">
        <v>0</v>
      </c>
    </row>
    <row r="113" spans="2:4" x14ac:dyDescent="0.5">
      <c r="B113" s="9">
        <v>85</v>
      </c>
      <c r="C113" s="9">
        <v>21.25</v>
      </c>
      <c r="D113" s="9">
        <v>0</v>
      </c>
    </row>
    <row r="114" spans="2:4" x14ac:dyDescent="0.5">
      <c r="B114" s="9">
        <v>86</v>
      </c>
      <c r="C114" s="9">
        <v>21.5</v>
      </c>
      <c r="D114" s="9">
        <v>0</v>
      </c>
    </row>
    <row r="115" spans="2:4" x14ac:dyDescent="0.5">
      <c r="B115" s="9">
        <v>87</v>
      </c>
      <c r="C115" s="9">
        <v>21.75</v>
      </c>
      <c r="D115" s="9">
        <v>0</v>
      </c>
    </row>
    <row r="116" spans="2:4" x14ac:dyDescent="0.5">
      <c r="B116" s="9">
        <v>88</v>
      </c>
      <c r="C116" s="9">
        <v>22</v>
      </c>
      <c r="D116" s="9">
        <v>0</v>
      </c>
    </row>
    <row r="117" spans="2:4" x14ac:dyDescent="0.5">
      <c r="B117" s="9">
        <v>89</v>
      </c>
      <c r="C117" s="9">
        <v>22.25</v>
      </c>
      <c r="D117" s="9">
        <v>0</v>
      </c>
    </row>
    <row r="118" spans="2:4" x14ac:dyDescent="0.5">
      <c r="B118" s="9">
        <v>90</v>
      </c>
      <c r="C118" s="9">
        <v>22.5</v>
      </c>
      <c r="D118" s="9">
        <v>0</v>
      </c>
    </row>
    <row r="119" spans="2:4" x14ac:dyDescent="0.5">
      <c r="B119" s="9">
        <v>91</v>
      </c>
      <c r="C119" s="9">
        <v>22.75</v>
      </c>
      <c r="D119" s="9">
        <v>0</v>
      </c>
    </row>
    <row r="120" spans="2:4" x14ac:dyDescent="0.5">
      <c r="B120" s="9">
        <v>92</v>
      </c>
      <c r="C120" s="9">
        <v>23</v>
      </c>
      <c r="D120" s="9">
        <v>0</v>
      </c>
    </row>
    <row r="121" spans="2:4" x14ac:dyDescent="0.5">
      <c r="B121" s="9">
        <v>93</v>
      </c>
      <c r="C121" s="9">
        <v>23.25</v>
      </c>
      <c r="D121" s="9">
        <v>0</v>
      </c>
    </row>
    <row r="122" spans="2:4" x14ac:dyDescent="0.5">
      <c r="B122" s="9">
        <v>94</v>
      </c>
      <c r="C122" s="9">
        <v>23.5</v>
      </c>
      <c r="D122" s="9">
        <v>0</v>
      </c>
    </row>
    <row r="123" spans="2:4" x14ac:dyDescent="0.5">
      <c r="B123" s="9">
        <v>95</v>
      </c>
      <c r="C123" s="9">
        <v>23.75</v>
      </c>
      <c r="D123" s="9">
        <v>0</v>
      </c>
    </row>
    <row r="124" spans="2:4" x14ac:dyDescent="0.5">
      <c r="B124" s="9">
        <v>96</v>
      </c>
      <c r="C124" s="9">
        <v>24</v>
      </c>
      <c r="D124" s="9">
        <v>0</v>
      </c>
    </row>
    <row r="125" spans="2:4" x14ac:dyDescent="0.5">
      <c r="B125" s="9">
        <v>97</v>
      </c>
      <c r="C125" s="9">
        <v>24.25</v>
      </c>
      <c r="D125" s="9">
        <v>0</v>
      </c>
    </row>
    <row r="126" spans="2:4" x14ac:dyDescent="0.5">
      <c r="B126" s="9">
        <v>98</v>
      </c>
      <c r="C126" s="9">
        <v>24.5</v>
      </c>
      <c r="D126" s="9">
        <v>0</v>
      </c>
    </row>
    <row r="127" spans="2:4" x14ac:dyDescent="0.5">
      <c r="B127" s="9">
        <v>99</v>
      </c>
      <c r="C127" s="9">
        <v>24.75</v>
      </c>
      <c r="D127" s="9">
        <v>0</v>
      </c>
    </row>
    <row r="128" spans="2:4" x14ac:dyDescent="0.5">
      <c r="B128" s="9">
        <v>100</v>
      </c>
      <c r="C128" s="9">
        <v>25</v>
      </c>
      <c r="D128" s="9">
        <v>0</v>
      </c>
    </row>
    <row r="129" spans="2:4" x14ac:dyDescent="0.5">
      <c r="B129" s="9">
        <v>101</v>
      </c>
      <c r="C129" s="9">
        <v>25.25</v>
      </c>
      <c r="D129" s="9">
        <v>0</v>
      </c>
    </row>
    <row r="130" spans="2:4" x14ac:dyDescent="0.5">
      <c r="B130" s="9">
        <v>102</v>
      </c>
      <c r="C130" s="9">
        <v>25.5</v>
      </c>
      <c r="D130" s="9">
        <v>0</v>
      </c>
    </row>
    <row r="131" spans="2:4" x14ac:dyDescent="0.5">
      <c r="B131" s="9">
        <v>103</v>
      </c>
      <c r="C131" s="9">
        <v>25.75</v>
      </c>
      <c r="D131" s="9">
        <v>0</v>
      </c>
    </row>
    <row r="132" spans="2:4" x14ac:dyDescent="0.5">
      <c r="B132" s="9">
        <v>104</v>
      </c>
      <c r="C132" s="9">
        <v>26</v>
      </c>
      <c r="D132" s="9">
        <v>0</v>
      </c>
    </row>
    <row r="133" spans="2:4" x14ac:dyDescent="0.5">
      <c r="B133" s="9">
        <v>105</v>
      </c>
      <c r="C133" s="9">
        <v>26.25</v>
      </c>
      <c r="D133" s="9">
        <v>0</v>
      </c>
    </row>
    <row r="134" spans="2:4" x14ac:dyDescent="0.5">
      <c r="B134" s="9">
        <v>106</v>
      </c>
      <c r="C134" s="9">
        <v>26.5</v>
      </c>
      <c r="D134" s="9">
        <v>0</v>
      </c>
    </row>
    <row r="135" spans="2:4" x14ac:dyDescent="0.5">
      <c r="B135" s="9">
        <v>107</v>
      </c>
      <c r="C135" s="9">
        <v>26.75</v>
      </c>
      <c r="D135" s="9">
        <v>0</v>
      </c>
    </row>
    <row r="136" spans="2:4" x14ac:dyDescent="0.5">
      <c r="B136" s="9">
        <v>108</v>
      </c>
      <c r="C136" s="9">
        <v>27</v>
      </c>
      <c r="D136" s="9">
        <v>0</v>
      </c>
    </row>
    <row r="137" spans="2:4" x14ac:dyDescent="0.5">
      <c r="B137" s="9">
        <v>109</v>
      </c>
      <c r="C137" s="9">
        <v>27.25</v>
      </c>
      <c r="D137" s="9">
        <v>0</v>
      </c>
    </row>
    <row r="138" spans="2:4" x14ac:dyDescent="0.5">
      <c r="B138" s="9">
        <v>110</v>
      </c>
      <c r="C138" s="9">
        <v>27.5</v>
      </c>
      <c r="D138" s="9">
        <v>0</v>
      </c>
    </row>
    <row r="139" spans="2:4" x14ac:dyDescent="0.5">
      <c r="B139" s="9">
        <v>111</v>
      </c>
      <c r="C139" s="9">
        <v>27.75</v>
      </c>
      <c r="D139" s="9">
        <v>0</v>
      </c>
    </row>
    <row r="140" spans="2:4" x14ac:dyDescent="0.5">
      <c r="B140" s="9">
        <v>112</v>
      </c>
      <c r="C140" s="9">
        <v>28</v>
      </c>
      <c r="D140" s="9">
        <v>0</v>
      </c>
    </row>
    <row r="141" spans="2:4" x14ac:dyDescent="0.5">
      <c r="B141" s="9">
        <v>113</v>
      </c>
      <c r="C141" s="9">
        <v>28.25</v>
      </c>
      <c r="D141" s="9">
        <v>0</v>
      </c>
    </row>
    <row r="142" spans="2:4" x14ac:dyDescent="0.5">
      <c r="B142" s="9">
        <v>114</v>
      </c>
      <c r="C142" s="9">
        <v>28.5</v>
      </c>
      <c r="D142" s="9">
        <v>0</v>
      </c>
    </row>
    <row r="143" spans="2:4" x14ac:dyDescent="0.5">
      <c r="B143" s="9">
        <v>115</v>
      </c>
      <c r="C143" s="9">
        <v>28.75</v>
      </c>
      <c r="D143" s="9">
        <v>0</v>
      </c>
    </row>
    <row r="144" spans="2:4" x14ac:dyDescent="0.5">
      <c r="B144" s="9">
        <v>116</v>
      </c>
      <c r="C144" s="9">
        <v>29</v>
      </c>
      <c r="D144" s="9">
        <v>0</v>
      </c>
    </row>
    <row r="145" spans="2:4" x14ac:dyDescent="0.5">
      <c r="B145" s="9">
        <v>117</v>
      </c>
      <c r="C145" s="9">
        <v>29.25</v>
      </c>
      <c r="D145" s="9">
        <v>0</v>
      </c>
    </row>
    <row r="146" spans="2:4" x14ac:dyDescent="0.5">
      <c r="B146" s="9">
        <v>118</v>
      </c>
      <c r="C146" s="9">
        <v>29.5</v>
      </c>
      <c r="D146" s="9">
        <v>0</v>
      </c>
    </row>
    <row r="147" spans="2:4" x14ac:dyDescent="0.5">
      <c r="B147" s="9">
        <v>119</v>
      </c>
      <c r="C147" s="9">
        <v>29.75</v>
      </c>
      <c r="D147" s="9">
        <v>0</v>
      </c>
    </row>
    <row r="148" spans="2:4" x14ac:dyDescent="0.5">
      <c r="B148" s="9">
        <v>120</v>
      </c>
      <c r="C148" s="9">
        <v>30</v>
      </c>
      <c r="D148" s="9">
        <v>0</v>
      </c>
    </row>
    <row r="149" spans="2:4" x14ac:dyDescent="0.5">
      <c r="B149" s="9">
        <v>121</v>
      </c>
      <c r="C149" s="9">
        <v>30.25</v>
      </c>
      <c r="D149" s="9">
        <v>0</v>
      </c>
    </row>
    <row r="150" spans="2:4" x14ac:dyDescent="0.5">
      <c r="B150" s="9">
        <v>122</v>
      </c>
      <c r="C150" s="9">
        <v>30.5</v>
      </c>
      <c r="D150" s="9">
        <v>0</v>
      </c>
    </row>
    <row r="151" spans="2:4" x14ac:dyDescent="0.5">
      <c r="B151" s="9">
        <v>123</v>
      </c>
      <c r="C151" s="9">
        <v>30.75</v>
      </c>
      <c r="D151" s="9">
        <v>0</v>
      </c>
    </row>
    <row r="152" spans="2:4" x14ac:dyDescent="0.5">
      <c r="B152" s="9">
        <v>124</v>
      </c>
      <c r="C152" s="9">
        <v>31</v>
      </c>
      <c r="D152" s="9">
        <v>0</v>
      </c>
    </row>
    <row r="153" spans="2:4" x14ac:dyDescent="0.5">
      <c r="B153" s="9">
        <v>125</v>
      </c>
      <c r="C153" s="9">
        <v>31.25</v>
      </c>
      <c r="D153" s="9">
        <v>0</v>
      </c>
    </row>
    <row r="154" spans="2:4" x14ac:dyDescent="0.5">
      <c r="B154" s="9">
        <v>126</v>
      </c>
      <c r="C154" s="9">
        <v>31.5</v>
      </c>
      <c r="D154" s="9">
        <v>0</v>
      </c>
    </row>
    <row r="155" spans="2:4" x14ac:dyDescent="0.5">
      <c r="B155" s="9">
        <v>127</v>
      </c>
      <c r="C155" s="9">
        <v>31.75</v>
      </c>
      <c r="D155" s="9">
        <v>0</v>
      </c>
    </row>
    <row r="156" spans="2:4" x14ac:dyDescent="0.5">
      <c r="B156" s="9">
        <v>128</v>
      </c>
      <c r="C156" s="9">
        <v>32</v>
      </c>
      <c r="D156" s="9">
        <v>0</v>
      </c>
    </row>
    <row r="157" spans="2:4" x14ac:dyDescent="0.5">
      <c r="B157" s="9">
        <v>129</v>
      </c>
      <c r="C157" s="9">
        <v>32.25</v>
      </c>
      <c r="D157" s="9">
        <v>0</v>
      </c>
    </row>
    <row r="158" spans="2:4" x14ac:dyDescent="0.5">
      <c r="B158" s="9">
        <v>130</v>
      </c>
      <c r="C158" s="9">
        <v>32.5</v>
      </c>
      <c r="D158" s="9">
        <v>0</v>
      </c>
    </row>
    <row r="159" spans="2:4" x14ac:dyDescent="0.5">
      <c r="B159" s="9">
        <v>131</v>
      </c>
      <c r="C159" s="9">
        <v>32.75</v>
      </c>
      <c r="D159" s="9">
        <v>0</v>
      </c>
    </row>
    <row r="160" spans="2:4" x14ac:dyDescent="0.5">
      <c r="B160" s="9">
        <v>132</v>
      </c>
      <c r="C160" s="9">
        <v>33</v>
      </c>
      <c r="D160" s="9">
        <v>0</v>
      </c>
    </row>
    <row r="161" spans="2:4" x14ac:dyDescent="0.5">
      <c r="B161" s="9">
        <v>133</v>
      </c>
      <c r="C161" s="9">
        <v>33.25</v>
      </c>
      <c r="D161" s="9">
        <v>0</v>
      </c>
    </row>
    <row r="162" spans="2:4" x14ac:dyDescent="0.5">
      <c r="B162" s="9">
        <v>134</v>
      </c>
      <c r="C162" s="9">
        <v>33.5</v>
      </c>
      <c r="D162" s="9">
        <v>0</v>
      </c>
    </row>
    <row r="163" spans="2:4" x14ac:dyDescent="0.5">
      <c r="B163" s="9">
        <v>135</v>
      </c>
      <c r="C163" s="9">
        <v>33.75</v>
      </c>
      <c r="D163" s="9">
        <v>0</v>
      </c>
    </row>
    <row r="164" spans="2:4" x14ac:dyDescent="0.5">
      <c r="B164" s="9">
        <v>136</v>
      </c>
      <c r="C164" s="9">
        <v>34</v>
      </c>
      <c r="D164" s="9">
        <v>0</v>
      </c>
    </row>
    <row r="165" spans="2:4" x14ac:dyDescent="0.5">
      <c r="B165" s="9">
        <v>137</v>
      </c>
      <c r="C165" s="9">
        <v>34.25</v>
      </c>
      <c r="D165" s="9">
        <v>0</v>
      </c>
    </row>
    <row r="166" spans="2:4" x14ac:dyDescent="0.5">
      <c r="B166" s="9">
        <v>138</v>
      </c>
      <c r="C166" s="9">
        <v>34.5</v>
      </c>
      <c r="D166" s="9">
        <v>0</v>
      </c>
    </row>
    <row r="167" spans="2:4" x14ac:dyDescent="0.5">
      <c r="B167" s="9">
        <v>139</v>
      </c>
      <c r="C167" s="9">
        <v>34.75</v>
      </c>
      <c r="D167" s="9">
        <v>0</v>
      </c>
    </row>
    <row r="168" spans="2:4" x14ac:dyDescent="0.5">
      <c r="B168" s="9">
        <v>140</v>
      </c>
      <c r="C168" s="9">
        <v>35</v>
      </c>
      <c r="D168" s="9">
        <v>0</v>
      </c>
    </row>
    <row r="169" spans="2:4" x14ac:dyDescent="0.5">
      <c r="B169" s="9">
        <v>141</v>
      </c>
      <c r="C169" s="9">
        <v>35.25</v>
      </c>
      <c r="D169" s="9">
        <v>0</v>
      </c>
    </row>
    <row r="170" spans="2:4" x14ac:dyDescent="0.5">
      <c r="B170" s="9">
        <v>142</v>
      </c>
      <c r="C170" s="9">
        <v>35.5</v>
      </c>
      <c r="D170" s="9">
        <v>0</v>
      </c>
    </row>
    <row r="171" spans="2:4" x14ac:dyDescent="0.5">
      <c r="B171" s="9">
        <v>143</v>
      </c>
      <c r="C171" s="9">
        <v>35.75</v>
      </c>
      <c r="D171" s="9">
        <v>0</v>
      </c>
    </row>
    <row r="172" spans="2:4" x14ac:dyDescent="0.5">
      <c r="B172" s="9">
        <v>144</v>
      </c>
      <c r="C172" s="9">
        <v>36</v>
      </c>
      <c r="D172" s="9">
        <v>0</v>
      </c>
    </row>
    <row r="173" spans="2:4" x14ac:dyDescent="0.5">
      <c r="B173" s="9">
        <v>145</v>
      </c>
      <c r="C173" s="9">
        <v>36.25</v>
      </c>
      <c r="D173" s="9">
        <v>0</v>
      </c>
    </row>
    <row r="174" spans="2:4" x14ac:dyDescent="0.5">
      <c r="B174" s="9">
        <v>146</v>
      </c>
      <c r="C174" s="9">
        <v>36.5</v>
      </c>
      <c r="D174" s="9">
        <v>0</v>
      </c>
    </row>
    <row r="175" spans="2:4" x14ac:dyDescent="0.5">
      <c r="B175" s="9">
        <v>147</v>
      </c>
      <c r="C175" s="9">
        <v>36.75</v>
      </c>
      <c r="D175" s="9">
        <v>0</v>
      </c>
    </row>
    <row r="176" spans="2:4" x14ac:dyDescent="0.5">
      <c r="B176" s="9">
        <v>148</v>
      </c>
      <c r="C176" s="9">
        <v>37</v>
      </c>
      <c r="D176" s="9">
        <v>0</v>
      </c>
    </row>
    <row r="177" spans="2:4" x14ac:dyDescent="0.5">
      <c r="B177" s="9">
        <v>149</v>
      </c>
      <c r="C177" s="9">
        <v>37.25</v>
      </c>
      <c r="D177" s="9">
        <v>0</v>
      </c>
    </row>
    <row r="178" spans="2:4" x14ac:dyDescent="0.5">
      <c r="B178" s="9">
        <v>150</v>
      </c>
      <c r="C178" s="9">
        <v>37.5</v>
      </c>
      <c r="D178" s="9">
        <v>0</v>
      </c>
    </row>
    <row r="179" spans="2:4" x14ac:dyDescent="0.5">
      <c r="B179" s="9">
        <v>151</v>
      </c>
      <c r="C179" s="9">
        <v>37.75</v>
      </c>
      <c r="D179" s="9">
        <v>0</v>
      </c>
    </row>
    <row r="180" spans="2:4" x14ac:dyDescent="0.5">
      <c r="B180" s="9">
        <v>152</v>
      </c>
      <c r="C180" s="9">
        <v>38</v>
      </c>
      <c r="D180" s="9">
        <v>0</v>
      </c>
    </row>
    <row r="181" spans="2:4" x14ac:dyDescent="0.5">
      <c r="B181" s="9">
        <v>153</v>
      </c>
      <c r="C181" s="9">
        <v>38.25</v>
      </c>
      <c r="D181" s="9">
        <v>0</v>
      </c>
    </row>
    <row r="182" spans="2:4" x14ac:dyDescent="0.5">
      <c r="B182" s="9">
        <v>154</v>
      </c>
      <c r="C182" s="9">
        <v>38.5</v>
      </c>
      <c r="D182" s="9">
        <v>0</v>
      </c>
    </row>
    <row r="183" spans="2:4" x14ac:dyDescent="0.5">
      <c r="B183" s="9">
        <v>155</v>
      </c>
      <c r="C183" s="9">
        <v>38.75</v>
      </c>
      <c r="D183" s="9">
        <v>0</v>
      </c>
    </row>
    <row r="184" spans="2:4" x14ac:dyDescent="0.5">
      <c r="B184" s="9">
        <v>156</v>
      </c>
      <c r="C184" s="9">
        <v>39</v>
      </c>
      <c r="D184" s="9">
        <v>0</v>
      </c>
    </row>
    <row r="185" spans="2:4" x14ac:dyDescent="0.5">
      <c r="B185" s="9">
        <v>157</v>
      </c>
      <c r="C185" s="9">
        <v>39.25</v>
      </c>
      <c r="D185" s="9">
        <v>0</v>
      </c>
    </row>
    <row r="186" spans="2:4" x14ac:dyDescent="0.5">
      <c r="B186" s="9">
        <v>158</v>
      </c>
      <c r="C186" s="9">
        <v>39.5</v>
      </c>
      <c r="D186" s="9">
        <v>0</v>
      </c>
    </row>
    <row r="187" spans="2:4" x14ac:dyDescent="0.5">
      <c r="B187" s="9">
        <v>159</v>
      </c>
      <c r="C187" s="9">
        <v>39.75</v>
      </c>
      <c r="D187" s="9">
        <v>0</v>
      </c>
    </row>
    <row r="188" spans="2:4" x14ac:dyDescent="0.5">
      <c r="B188" s="9">
        <v>160</v>
      </c>
      <c r="C188" s="9">
        <v>40</v>
      </c>
      <c r="D188" s="9">
        <v>0</v>
      </c>
    </row>
    <row r="189" spans="2:4" x14ac:dyDescent="0.5">
      <c r="B189" s="9">
        <v>161</v>
      </c>
      <c r="C189" s="9">
        <v>40.25</v>
      </c>
      <c r="D189" s="9">
        <v>0</v>
      </c>
    </row>
    <row r="190" spans="2:4" x14ac:dyDescent="0.5">
      <c r="B190" s="9">
        <v>162</v>
      </c>
      <c r="C190" s="9">
        <v>40.5</v>
      </c>
      <c r="D190" s="9">
        <v>0</v>
      </c>
    </row>
    <row r="191" spans="2:4" x14ac:dyDescent="0.5">
      <c r="B191" s="9">
        <v>163</v>
      </c>
      <c r="C191" s="9">
        <v>40.75</v>
      </c>
      <c r="D191" s="9">
        <v>0</v>
      </c>
    </row>
    <row r="192" spans="2:4" x14ac:dyDescent="0.5">
      <c r="B192" s="9">
        <v>164</v>
      </c>
      <c r="C192" s="9">
        <v>41</v>
      </c>
      <c r="D192" s="9">
        <v>0</v>
      </c>
    </row>
    <row r="193" spans="2:4" x14ac:dyDescent="0.5">
      <c r="B193" s="9">
        <v>165</v>
      </c>
      <c r="C193" s="9">
        <v>41.25</v>
      </c>
      <c r="D193" s="9">
        <v>0</v>
      </c>
    </row>
    <row r="194" spans="2:4" x14ac:dyDescent="0.5">
      <c r="B194" s="9">
        <v>166</v>
      </c>
      <c r="C194" s="9">
        <v>41.5</v>
      </c>
      <c r="D194" s="9">
        <v>0</v>
      </c>
    </row>
    <row r="195" spans="2:4" x14ac:dyDescent="0.5">
      <c r="B195" s="9">
        <v>167</v>
      </c>
      <c r="C195" s="9">
        <v>41.75</v>
      </c>
      <c r="D195" s="9">
        <v>0</v>
      </c>
    </row>
    <row r="196" spans="2:4" x14ac:dyDescent="0.5">
      <c r="B196" s="9">
        <v>168</v>
      </c>
      <c r="C196" s="9">
        <v>42</v>
      </c>
      <c r="D196" s="9">
        <v>0</v>
      </c>
    </row>
    <row r="197" spans="2:4" x14ac:dyDescent="0.5">
      <c r="B197" s="9">
        <v>169</v>
      </c>
      <c r="C197" s="9">
        <v>42.25</v>
      </c>
      <c r="D197" s="9">
        <v>0</v>
      </c>
    </row>
    <row r="198" spans="2:4" x14ac:dyDescent="0.5">
      <c r="B198" s="9">
        <v>170</v>
      </c>
      <c r="C198" s="9">
        <v>42.5</v>
      </c>
      <c r="D198" s="9">
        <v>0</v>
      </c>
    </row>
    <row r="199" spans="2:4" x14ac:dyDescent="0.5">
      <c r="B199" s="9">
        <v>171</v>
      </c>
      <c r="C199" s="9">
        <v>42.75</v>
      </c>
      <c r="D199" s="9">
        <v>0</v>
      </c>
    </row>
    <row r="200" spans="2:4" x14ac:dyDescent="0.5">
      <c r="B200" s="9">
        <v>172</v>
      </c>
      <c r="C200" s="9">
        <v>43</v>
      </c>
      <c r="D200" s="9">
        <v>0</v>
      </c>
    </row>
    <row r="201" spans="2:4" x14ac:dyDescent="0.5">
      <c r="B201" s="9">
        <v>173</v>
      </c>
      <c r="C201" s="9">
        <v>43.25</v>
      </c>
      <c r="D201" s="9">
        <v>0</v>
      </c>
    </row>
    <row r="202" spans="2:4" x14ac:dyDescent="0.5">
      <c r="B202" s="9">
        <v>174</v>
      </c>
      <c r="C202" s="9">
        <v>43.5</v>
      </c>
      <c r="D202" s="9">
        <v>0</v>
      </c>
    </row>
    <row r="203" spans="2:4" x14ac:dyDescent="0.5">
      <c r="B203" s="9">
        <v>175</v>
      </c>
      <c r="C203" s="9">
        <v>43.75</v>
      </c>
      <c r="D203" s="9">
        <v>0</v>
      </c>
    </row>
    <row r="204" spans="2:4" x14ac:dyDescent="0.5">
      <c r="B204" s="9">
        <v>176</v>
      </c>
      <c r="C204" s="9">
        <v>44</v>
      </c>
      <c r="D204" s="9">
        <v>0</v>
      </c>
    </row>
    <row r="205" spans="2:4" x14ac:dyDescent="0.5">
      <c r="B205" s="9">
        <v>177</v>
      </c>
      <c r="C205" s="9">
        <v>44.25</v>
      </c>
      <c r="D205" s="9">
        <v>0</v>
      </c>
    </row>
    <row r="206" spans="2:4" x14ac:dyDescent="0.5">
      <c r="B206" s="9">
        <v>178</v>
      </c>
      <c r="C206" s="9">
        <v>44.5</v>
      </c>
      <c r="D206" s="9">
        <v>0</v>
      </c>
    </row>
    <row r="207" spans="2:4" x14ac:dyDescent="0.5">
      <c r="B207" s="9">
        <v>179</v>
      </c>
      <c r="C207" s="9">
        <v>44.75</v>
      </c>
      <c r="D207" s="9">
        <v>0</v>
      </c>
    </row>
    <row r="208" spans="2:4" x14ac:dyDescent="0.5">
      <c r="B208" s="9">
        <v>180</v>
      </c>
      <c r="C208" s="9">
        <v>45</v>
      </c>
      <c r="D208" s="9">
        <v>0</v>
      </c>
    </row>
    <row r="209" spans="2:4" x14ac:dyDescent="0.5">
      <c r="B209" s="9">
        <v>181</v>
      </c>
      <c r="C209" s="9">
        <v>45.25</v>
      </c>
      <c r="D209" s="9">
        <v>0</v>
      </c>
    </row>
    <row r="210" spans="2:4" x14ac:dyDescent="0.5">
      <c r="B210" s="9">
        <v>182</v>
      </c>
      <c r="C210" s="9">
        <v>45.5</v>
      </c>
      <c r="D210" s="9">
        <v>0</v>
      </c>
    </row>
    <row r="211" spans="2:4" x14ac:dyDescent="0.5">
      <c r="B211" s="9">
        <v>183</v>
      </c>
      <c r="C211" s="9">
        <v>45.75</v>
      </c>
      <c r="D211" s="9">
        <v>0</v>
      </c>
    </row>
    <row r="212" spans="2:4" x14ac:dyDescent="0.5">
      <c r="B212" s="9">
        <v>184</v>
      </c>
      <c r="C212" s="9">
        <v>46</v>
      </c>
      <c r="D212" s="9">
        <v>0</v>
      </c>
    </row>
    <row r="213" spans="2:4" x14ac:dyDescent="0.5">
      <c r="B213" s="9">
        <v>185</v>
      </c>
      <c r="C213" s="9">
        <v>46.25</v>
      </c>
      <c r="D213" s="9">
        <v>0</v>
      </c>
    </row>
    <row r="214" spans="2:4" x14ac:dyDescent="0.5">
      <c r="B214" s="9">
        <v>186</v>
      </c>
      <c r="C214" s="9">
        <v>46.5</v>
      </c>
      <c r="D214" s="9">
        <v>0</v>
      </c>
    </row>
    <row r="215" spans="2:4" x14ac:dyDescent="0.5">
      <c r="B215" s="9">
        <v>187</v>
      </c>
      <c r="C215" s="9">
        <v>46.75</v>
      </c>
      <c r="D215" s="9">
        <v>0</v>
      </c>
    </row>
    <row r="216" spans="2:4" x14ac:dyDescent="0.5">
      <c r="B216" s="9">
        <v>188</v>
      </c>
      <c r="C216" s="9">
        <v>47</v>
      </c>
      <c r="D216" s="9">
        <v>0</v>
      </c>
    </row>
    <row r="217" spans="2:4" x14ac:dyDescent="0.5">
      <c r="B217" s="9">
        <v>189</v>
      </c>
      <c r="C217" s="9">
        <v>47.25</v>
      </c>
      <c r="D217" s="9">
        <v>0</v>
      </c>
    </row>
    <row r="218" spans="2:4" x14ac:dyDescent="0.5">
      <c r="B218" s="9">
        <v>190</v>
      </c>
      <c r="C218" s="9">
        <v>47.5</v>
      </c>
      <c r="D218" s="9">
        <v>0</v>
      </c>
    </row>
    <row r="219" spans="2:4" x14ac:dyDescent="0.5">
      <c r="B219" s="9">
        <v>191</v>
      </c>
      <c r="C219" s="9">
        <v>47.75</v>
      </c>
      <c r="D219" s="9">
        <v>0</v>
      </c>
    </row>
    <row r="220" spans="2:4" x14ac:dyDescent="0.5">
      <c r="B220" s="9">
        <v>192</v>
      </c>
      <c r="C220" s="9">
        <v>48</v>
      </c>
      <c r="D220" s="9">
        <v>0</v>
      </c>
    </row>
    <row r="221" spans="2:4" x14ac:dyDescent="0.5">
      <c r="B221" s="9">
        <v>193</v>
      </c>
      <c r="C221" s="9">
        <v>48.25</v>
      </c>
      <c r="D221" s="9">
        <v>0</v>
      </c>
    </row>
    <row r="222" spans="2:4" x14ac:dyDescent="0.5">
      <c r="B222" s="9">
        <v>194</v>
      </c>
      <c r="C222" s="9">
        <v>48.5</v>
      </c>
      <c r="D222" s="9">
        <v>0</v>
      </c>
    </row>
    <row r="223" spans="2:4" x14ac:dyDescent="0.5">
      <c r="B223" s="9">
        <v>195</v>
      </c>
      <c r="C223" s="9">
        <v>48.75</v>
      </c>
      <c r="D223" s="9">
        <v>0</v>
      </c>
    </row>
    <row r="224" spans="2:4" x14ac:dyDescent="0.5">
      <c r="B224" s="9">
        <v>196</v>
      </c>
      <c r="C224" s="9">
        <v>49</v>
      </c>
      <c r="D224" s="9">
        <v>0</v>
      </c>
    </row>
    <row r="225" spans="2:4" x14ac:dyDescent="0.5">
      <c r="B225" s="9">
        <v>197</v>
      </c>
      <c r="C225" s="9">
        <v>49.25</v>
      </c>
      <c r="D225" s="9">
        <v>0</v>
      </c>
    </row>
    <row r="226" spans="2:4" x14ac:dyDescent="0.5">
      <c r="B226" s="9">
        <v>198</v>
      </c>
      <c r="C226" s="9">
        <v>49.5</v>
      </c>
      <c r="D226" s="9">
        <v>0</v>
      </c>
    </row>
    <row r="227" spans="2:4" x14ac:dyDescent="0.5">
      <c r="B227" s="9">
        <v>199</v>
      </c>
      <c r="C227" s="9">
        <v>49.75</v>
      </c>
      <c r="D227" s="9">
        <v>0</v>
      </c>
    </row>
    <row r="228" spans="2:4" x14ac:dyDescent="0.5">
      <c r="B228" s="9">
        <v>200</v>
      </c>
      <c r="C228" s="9">
        <v>50</v>
      </c>
      <c r="D228" s="9">
        <v>0</v>
      </c>
    </row>
    <row r="229" spans="2:4" x14ac:dyDescent="0.5">
      <c r="B229" s="9">
        <v>201</v>
      </c>
      <c r="C229" s="9">
        <v>50.25</v>
      </c>
      <c r="D229" s="9">
        <v>0</v>
      </c>
    </row>
    <row r="230" spans="2:4" x14ac:dyDescent="0.5">
      <c r="B230" s="9">
        <v>202</v>
      </c>
      <c r="C230" s="9">
        <v>50.5</v>
      </c>
      <c r="D230" s="9">
        <v>0</v>
      </c>
    </row>
    <row r="231" spans="2:4" x14ac:dyDescent="0.5">
      <c r="B231" s="9">
        <v>203</v>
      </c>
      <c r="C231" s="9">
        <v>50.75</v>
      </c>
      <c r="D231" s="9">
        <v>0</v>
      </c>
    </row>
    <row r="232" spans="2:4" x14ac:dyDescent="0.5">
      <c r="B232" s="9">
        <v>204</v>
      </c>
      <c r="C232" s="9">
        <v>51</v>
      </c>
      <c r="D232" s="9">
        <v>0</v>
      </c>
    </row>
    <row r="233" spans="2:4" x14ac:dyDescent="0.5">
      <c r="B233" s="9">
        <v>205</v>
      </c>
      <c r="C233" s="9">
        <v>51.25</v>
      </c>
      <c r="D233" s="9">
        <v>0</v>
      </c>
    </row>
    <row r="234" spans="2:4" x14ac:dyDescent="0.5">
      <c r="B234" s="9">
        <v>206</v>
      </c>
      <c r="C234" s="9">
        <v>51.5</v>
      </c>
      <c r="D234" s="9">
        <v>0</v>
      </c>
    </row>
    <row r="235" spans="2:4" x14ac:dyDescent="0.5">
      <c r="B235" s="9">
        <v>207</v>
      </c>
      <c r="C235" s="9">
        <v>51.75</v>
      </c>
      <c r="D235" s="9">
        <v>0</v>
      </c>
    </row>
    <row r="236" spans="2:4" x14ac:dyDescent="0.5">
      <c r="B236" s="9">
        <v>208</v>
      </c>
      <c r="C236" s="9">
        <v>52</v>
      </c>
      <c r="D236" s="9">
        <v>0</v>
      </c>
    </row>
    <row r="237" spans="2:4" x14ac:dyDescent="0.5">
      <c r="B237" s="9">
        <v>209</v>
      </c>
      <c r="C237" s="9">
        <v>52.25</v>
      </c>
      <c r="D237" s="9">
        <v>0</v>
      </c>
    </row>
    <row r="238" spans="2:4" x14ac:dyDescent="0.5">
      <c r="B238" s="9">
        <v>210</v>
      </c>
      <c r="C238" s="9">
        <v>52.5</v>
      </c>
      <c r="D238" s="9">
        <v>0</v>
      </c>
    </row>
    <row r="239" spans="2:4" x14ac:dyDescent="0.5">
      <c r="B239" s="9">
        <v>211</v>
      </c>
      <c r="C239" s="9">
        <v>52.75</v>
      </c>
      <c r="D239" s="9">
        <v>0</v>
      </c>
    </row>
    <row r="240" spans="2:4" x14ac:dyDescent="0.5">
      <c r="B240" s="9">
        <v>212</v>
      </c>
      <c r="C240" s="9">
        <v>53</v>
      </c>
      <c r="D240" s="9">
        <v>0</v>
      </c>
    </row>
    <row r="241" spans="2:4" x14ac:dyDescent="0.5">
      <c r="B241" s="9">
        <v>213</v>
      </c>
      <c r="C241" s="9">
        <v>53.25</v>
      </c>
      <c r="D241" s="9">
        <v>0</v>
      </c>
    </row>
    <row r="242" spans="2:4" x14ac:dyDescent="0.5">
      <c r="B242" s="9">
        <v>214</v>
      </c>
      <c r="C242" s="9">
        <v>53.5</v>
      </c>
      <c r="D242" s="9">
        <v>0</v>
      </c>
    </row>
    <row r="243" spans="2:4" x14ac:dyDescent="0.5">
      <c r="B243" s="9">
        <v>215</v>
      </c>
      <c r="C243" s="9">
        <v>53.75</v>
      </c>
      <c r="D243" s="9">
        <v>0</v>
      </c>
    </row>
    <row r="244" spans="2:4" x14ac:dyDescent="0.5">
      <c r="B244" s="9">
        <v>216</v>
      </c>
      <c r="C244" s="9">
        <v>54</v>
      </c>
      <c r="D244" s="9">
        <v>0</v>
      </c>
    </row>
    <row r="245" spans="2:4" x14ac:dyDescent="0.5">
      <c r="B245" s="9">
        <v>217</v>
      </c>
      <c r="C245" s="9">
        <v>54.25</v>
      </c>
      <c r="D245" s="9">
        <v>0</v>
      </c>
    </row>
    <row r="246" spans="2:4" x14ac:dyDescent="0.5">
      <c r="B246" s="9">
        <v>218</v>
      </c>
      <c r="C246" s="9">
        <v>54.5</v>
      </c>
      <c r="D246" s="9">
        <v>0</v>
      </c>
    </row>
    <row r="247" spans="2:4" x14ac:dyDescent="0.5">
      <c r="B247" s="9">
        <v>219</v>
      </c>
      <c r="C247" s="9">
        <v>54.75</v>
      </c>
      <c r="D247" s="9">
        <v>0</v>
      </c>
    </row>
    <row r="248" spans="2:4" x14ac:dyDescent="0.5">
      <c r="B248" s="9">
        <v>220</v>
      </c>
      <c r="C248" s="9">
        <v>55</v>
      </c>
      <c r="D248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61A2-414C-4B9E-B6DA-386B3077BD7C}">
  <dimension ref="B2:F248"/>
  <sheetViews>
    <sheetView showGridLines="0" topLeftCell="A229" zoomScale="115" zoomScaleNormal="115" workbookViewId="0">
      <selection activeCell="D28" sqref="D28:D248"/>
    </sheetView>
  </sheetViews>
  <sheetFormatPr defaultRowHeight="16.350000000000001" x14ac:dyDescent="0.5"/>
  <cols>
    <col min="1" max="1" width="2.64453125" style="9" customWidth="1"/>
    <col min="2" max="3" width="17.76171875" style="9" customWidth="1"/>
    <col min="4" max="4" width="16.234375" style="9" customWidth="1"/>
    <col min="5" max="16384" width="8.9375" style="9"/>
  </cols>
  <sheetData>
    <row r="2" spans="2:6" x14ac:dyDescent="0.5">
      <c r="B2" s="9" t="s">
        <v>45</v>
      </c>
    </row>
    <row r="3" spans="2:6" x14ac:dyDescent="0.5">
      <c r="B3" s="9" t="s">
        <v>49</v>
      </c>
      <c r="C3" s="9">
        <v>2.5</v>
      </c>
    </row>
    <row r="5" spans="2:6" x14ac:dyDescent="0.5">
      <c r="B5" s="9" t="s">
        <v>50</v>
      </c>
    </row>
    <row r="6" spans="2:6" x14ac:dyDescent="0.5">
      <c r="B6" s="9" t="s">
        <v>25</v>
      </c>
      <c r="C6" s="9" t="s">
        <v>26</v>
      </c>
      <c r="D6" s="9" t="s">
        <v>47</v>
      </c>
      <c r="E6" s="9" t="s">
        <v>46</v>
      </c>
      <c r="F6" s="9" t="s">
        <v>48</v>
      </c>
    </row>
    <row r="7" spans="2:6" x14ac:dyDescent="0.5">
      <c r="B7" s="9" t="s">
        <v>27</v>
      </c>
      <c r="C7" s="9" t="s">
        <v>28</v>
      </c>
      <c r="D7" s="9">
        <v>0</v>
      </c>
      <c r="E7" s="9">
        <v>0</v>
      </c>
      <c r="F7" s="9">
        <v>2545.7391339999999</v>
      </c>
    </row>
    <row r="8" spans="2:6" x14ac:dyDescent="0.5">
      <c r="B8" s="9" t="s">
        <v>27</v>
      </c>
      <c r="C8" s="9" t="s">
        <v>28</v>
      </c>
      <c r="D8" s="9">
        <v>0</v>
      </c>
      <c r="E8" s="9">
        <v>12.399134</v>
      </c>
      <c r="F8" s="9">
        <v>2545.7391339999999</v>
      </c>
    </row>
    <row r="9" spans="2:6" x14ac:dyDescent="0.5">
      <c r="B9" s="9" t="s">
        <v>27</v>
      </c>
      <c r="C9" s="9" t="s">
        <v>28</v>
      </c>
      <c r="D9" s="9">
        <v>0</v>
      </c>
      <c r="E9" s="9">
        <v>24.197402</v>
      </c>
      <c r="F9" s="9">
        <v>2539.84</v>
      </c>
    </row>
    <row r="10" spans="2:6" x14ac:dyDescent="0.5">
      <c r="B10" s="9" t="s">
        <v>27</v>
      </c>
      <c r="C10" s="9" t="s">
        <v>28</v>
      </c>
      <c r="D10" s="9">
        <v>0</v>
      </c>
      <c r="E10" s="9">
        <v>50.197401999999997</v>
      </c>
      <c r="F10" s="9">
        <v>2539.84</v>
      </c>
    </row>
    <row r="11" spans="2:6" x14ac:dyDescent="0.5">
      <c r="B11" s="9" t="s">
        <v>27</v>
      </c>
      <c r="C11" s="9" t="s">
        <v>28</v>
      </c>
      <c r="D11" s="9">
        <v>0</v>
      </c>
      <c r="E11" s="9">
        <v>61.995669999999997</v>
      </c>
      <c r="F11" s="9">
        <v>2545.7391339999999</v>
      </c>
    </row>
    <row r="12" spans="2:6" x14ac:dyDescent="0.5">
      <c r="B12" s="9" t="s">
        <v>27</v>
      </c>
      <c r="C12" s="9" t="s">
        <v>28</v>
      </c>
      <c r="D12" s="9">
        <v>0</v>
      </c>
      <c r="E12" s="9">
        <v>74.394805000000005</v>
      </c>
      <c r="F12" s="9">
        <v>2545.7391339999999</v>
      </c>
    </row>
    <row r="13" spans="2:6" x14ac:dyDescent="0.5">
      <c r="B13" s="9" t="s">
        <v>27</v>
      </c>
      <c r="C13" s="9" t="s">
        <v>28</v>
      </c>
      <c r="D13" s="9">
        <v>500</v>
      </c>
      <c r="E13" s="9">
        <v>0</v>
      </c>
      <c r="F13" s="9">
        <v>2545.7741339999998</v>
      </c>
    </row>
    <row r="14" spans="2:6" x14ac:dyDescent="0.5">
      <c r="B14" s="9" t="s">
        <v>27</v>
      </c>
      <c r="C14" s="9" t="s">
        <v>28</v>
      </c>
      <c r="D14" s="9">
        <v>500</v>
      </c>
      <c r="E14" s="9">
        <v>12.399134</v>
      </c>
      <c r="F14" s="9">
        <v>2545.7741339999998</v>
      </c>
    </row>
    <row r="15" spans="2:6" x14ac:dyDescent="0.5">
      <c r="B15" s="9" t="s">
        <v>27</v>
      </c>
      <c r="C15" s="9" t="s">
        <v>28</v>
      </c>
      <c r="D15" s="9">
        <v>500</v>
      </c>
      <c r="E15" s="9">
        <v>24.197402</v>
      </c>
      <c r="F15" s="9">
        <v>2539.875</v>
      </c>
    </row>
    <row r="16" spans="2:6" x14ac:dyDescent="0.5">
      <c r="B16" s="9" t="s">
        <v>27</v>
      </c>
      <c r="C16" s="9" t="s">
        <v>28</v>
      </c>
      <c r="D16" s="9">
        <v>500</v>
      </c>
      <c r="E16" s="9">
        <v>50.197401999999997</v>
      </c>
      <c r="F16" s="9">
        <v>2539.875</v>
      </c>
    </row>
    <row r="17" spans="2:6" x14ac:dyDescent="0.5">
      <c r="B17" s="9" t="s">
        <v>27</v>
      </c>
      <c r="C17" s="9" t="s">
        <v>28</v>
      </c>
      <c r="D17" s="9">
        <v>500</v>
      </c>
      <c r="E17" s="9">
        <v>61.995669999999997</v>
      </c>
      <c r="F17" s="9">
        <v>2545.7741339999998</v>
      </c>
    </row>
    <row r="18" spans="2:6" x14ac:dyDescent="0.5">
      <c r="B18" s="9" t="s">
        <v>27</v>
      </c>
      <c r="C18" s="9" t="s">
        <v>28</v>
      </c>
      <c r="D18" s="9">
        <v>500</v>
      </c>
      <c r="E18" s="9">
        <v>74.394805000000005</v>
      </c>
      <c r="F18" s="9">
        <v>2545.7741339999998</v>
      </c>
    </row>
    <row r="20" spans="2:6" x14ac:dyDescent="0.5">
      <c r="B20" s="9" t="s">
        <v>32</v>
      </c>
    </row>
    <row r="21" spans="2:6" x14ac:dyDescent="0.5">
      <c r="B21" s="10" t="s">
        <v>30</v>
      </c>
      <c r="C21" s="10" t="s">
        <v>31</v>
      </c>
    </row>
    <row r="22" spans="2:6" x14ac:dyDescent="0.5">
      <c r="B22" s="10">
        <v>4879023</v>
      </c>
      <c r="C22" s="10">
        <v>2088408</v>
      </c>
    </row>
    <row r="23" spans="2:6" x14ac:dyDescent="0.5">
      <c r="B23" s="9">
        <v>4878523</v>
      </c>
      <c r="C23" s="9">
        <v>2088408</v>
      </c>
    </row>
    <row r="25" spans="2:6" x14ac:dyDescent="0.5">
      <c r="B25" s="9" t="s">
        <v>33</v>
      </c>
    </row>
    <row r="26" spans="2:6" x14ac:dyDescent="0.5">
      <c r="B26" s="9" t="s">
        <v>34</v>
      </c>
    </row>
    <row r="27" spans="2:6" x14ac:dyDescent="0.5">
      <c r="B27" s="9" t="s">
        <v>24</v>
      </c>
      <c r="C27" s="9" t="s">
        <v>23</v>
      </c>
      <c r="D27" s="9" t="s">
        <v>35</v>
      </c>
    </row>
    <row r="28" spans="2:6" x14ac:dyDescent="0.5">
      <c r="B28" s="9">
        <v>0</v>
      </c>
      <c r="C28" s="9">
        <v>0</v>
      </c>
      <c r="D28" s="9">
        <v>0</v>
      </c>
    </row>
    <row r="29" spans="2:6" x14ac:dyDescent="0.5">
      <c r="B29" s="9">
        <v>1</v>
      </c>
      <c r="C29" s="9">
        <v>0.25</v>
      </c>
      <c r="D29" s="9">
        <v>23.333333</v>
      </c>
    </row>
    <row r="30" spans="2:6" x14ac:dyDescent="0.5">
      <c r="B30" s="9">
        <v>2</v>
      </c>
      <c r="C30" s="9">
        <v>0.5</v>
      </c>
      <c r="D30" s="9">
        <v>46.666666999999997</v>
      </c>
    </row>
    <row r="31" spans="2:6" x14ac:dyDescent="0.5">
      <c r="B31" s="9">
        <v>3</v>
      </c>
      <c r="C31" s="9">
        <v>0.75</v>
      </c>
      <c r="D31" s="9">
        <v>70</v>
      </c>
    </row>
    <row r="32" spans="2:6" x14ac:dyDescent="0.5">
      <c r="B32" s="9">
        <v>4</v>
      </c>
      <c r="C32" s="9">
        <v>1</v>
      </c>
      <c r="D32" s="9">
        <v>93.333332999999996</v>
      </c>
    </row>
    <row r="33" spans="2:4" x14ac:dyDescent="0.5">
      <c r="B33" s="9">
        <v>5</v>
      </c>
      <c r="C33" s="9">
        <v>1.25</v>
      </c>
      <c r="D33" s="9">
        <v>116.666667</v>
      </c>
    </row>
    <row r="34" spans="2:4" x14ac:dyDescent="0.5">
      <c r="B34" s="9">
        <v>6</v>
      </c>
      <c r="C34" s="9">
        <v>1.5</v>
      </c>
      <c r="D34" s="9">
        <v>140</v>
      </c>
    </row>
    <row r="35" spans="2:4" x14ac:dyDescent="0.5">
      <c r="B35" s="9">
        <v>7</v>
      </c>
      <c r="C35" s="9">
        <v>1.75</v>
      </c>
      <c r="D35" s="9">
        <v>126</v>
      </c>
    </row>
    <row r="36" spans="2:4" x14ac:dyDescent="0.5">
      <c r="B36" s="9">
        <v>8</v>
      </c>
      <c r="C36" s="9">
        <v>2</v>
      </c>
      <c r="D36" s="9">
        <v>112</v>
      </c>
    </row>
    <row r="37" spans="2:4" x14ac:dyDescent="0.5">
      <c r="B37" s="9">
        <v>9</v>
      </c>
      <c r="C37" s="9">
        <v>2.25</v>
      </c>
      <c r="D37" s="9">
        <v>98</v>
      </c>
    </row>
    <row r="38" spans="2:4" x14ac:dyDescent="0.5">
      <c r="B38" s="9">
        <v>10</v>
      </c>
      <c r="C38" s="9">
        <v>2.5</v>
      </c>
      <c r="D38" s="9">
        <v>84</v>
      </c>
    </row>
    <row r="39" spans="2:4" x14ac:dyDescent="0.5">
      <c r="B39" s="9">
        <v>11</v>
      </c>
      <c r="C39" s="9">
        <v>2.75</v>
      </c>
      <c r="D39" s="9">
        <v>70</v>
      </c>
    </row>
    <row r="40" spans="2:4" x14ac:dyDescent="0.5">
      <c r="B40" s="9">
        <v>12</v>
      </c>
      <c r="C40" s="9">
        <v>3</v>
      </c>
      <c r="D40" s="9">
        <v>56</v>
      </c>
    </row>
    <row r="41" spans="2:4" x14ac:dyDescent="0.5">
      <c r="B41" s="9">
        <v>13</v>
      </c>
      <c r="C41" s="9">
        <v>3.25</v>
      </c>
      <c r="D41" s="9">
        <v>42</v>
      </c>
    </row>
    <row r="42" spans="2:4" x14ac:dyDescent="0.5">
      <c r="B42" s="9">
        <v>14</v>
      </c>
      <c r="C42" s="9">
        <v>3.5</v>
      </c>
      <c r="D42" s="9">
        <v>28</v>
      </c>
    </row>
    <row r="43" spans="2:4" x14ac:dyDescent="0.5">
      <c r="B43" s="9">
        <v>15</v>
      </c>
      <c r="C43" s="9">
        <v>3.75</v>
      </c>
      <c r="D43" s="9">
        <v>14</v>
      </c>
    </row>
    <row r="44" spans="2:4" x14ac:dyDescent="0.5">
      <c r="B44" s="9">
        <v>16</v>
      </c>
      <c r="C44" s="9">
        <v>4</v>
      </c>
      <c r="D44" s="9">
        <v>0</v>
      </c>
    </row>
    <row r="45" spans="2:4" x14ac:dyDescent="0.5">
      <c r="B45" s="9">
        <v>17</v>
      </c>
      <c r="C45" s="9">
        <v>4.25</v>
      </c>
      <c r="D45" s="9">
        <v>0</v>
      </c>
    </row>
    <row r="46" spans="2:4" x14ac:dyDescent="0.5">
      <c r="B46" s="9">
        <v>18</v>
      </c>
      <c r="C46" s="9">
        <v>4.5</v>
      </c>
      <c r="D46" s="9">
        <v>0</v>
      </c>
    </row>
    <row r="47" spans="2:4" x14ac:dyDescent="0.5">
      <c r="B47" s="9">
        <v>19</v>
      </c>
      <c r="C47" s="9">
        <v>4.75</v>
      </c>
      <c r="D47" s="9">
        <v>0</v>
      </c>
    </row>
    <row r="48" spans="2:4" x14ac:dyDescent="0.5">
      <c r="B48" s="9">
        <v>20</v>
      </c>
      <c r="C48" s="9">
        <v>5</v>
      </c>
      <c r="D48" s="9">
        <v>0</v>
      </c>
    </row>
    <row r="49" spans="2:4" x14ac:dyDescent="0.5">
      <c r="B49" s="9">
        <v>21</v>
      </c>
      <c r="C49" s="9">
        <v>5.25</v>
      </c>
      <c r="D49" s="9">
        <v>0</v>
      </c>
    </row>
    <row r="50" spans="2:4" x14ac:dyDescent="0.5">
      <c r="B50" s="9">
        <v>22</v>
      </c>
      <c r="C50" s="9">
        <v>5.5</v>
      </c>
      <c r="D50" s="9">
        <v>0</v>
      </c>
    </row>
    <row r="51" spans="2:4" x14ac:dyDescent="0.5">
      <c r="B51" s="9">
        <v>23</v>
      </c>
      <c r="C51" s="9">
        <v>5.75</v>
      </c>
      <c r="D51" s="9">
        <v>0</v>
      </c>
    </row>
    <row r="52" spans="2:4" x14ac:dyDescent="0.5">
      <c r="B52" s="9">
        <v>24</v>
      </c>
      <c r="C52" s="9">
        <v>6</v>
      </c>
      <c r="D52" s="9">
        <v>0</v>
      </c>
    </row>
    <row r="53" spans="2:4" x14ac:dyDescent="0.5">
      <c r="B53" s="9">
        <v>25</v>
      </c>
      <c r="C53" s="9">
        <v>6.25</v>
      </c>
      <c r="D53" s="9">
        <v>0</v>
      </c>
    </row>
    <row r="54" spans="2:4" x14ac:dyDescent="0.5">
      <c r="B54" s="9">
        <v>26</v>
      </c>
      <c r="C54" s="9">
        <v>6.5</v>
      </c>
      <c r="D54" s="9">
        <v>0</v>
      </c>
    </row>
    <row r="55" spans="2:4" x14ac:dyDescent="0.5">
      <c r="B55" s="9">
        <v>27</v>
      </c>
      <c r="C55" s="9">
        <v>6.75</v>
      </c>
      <c r="D55" s="9">
        <v>0</v>
      </c>
    </row>
    <row r="56" spans="2:4" x14ac:dyDescent="0.5">
      <c r="B56" s="9">
        <v>28</v>
      </c>
      <c r="C56" s="9">
        <v>7</v>
      </c>
      <c r="D56" s="9">
        <v>0</v>
      </c>
    </row>
    <row r="57" spans="2:4" x14ac:dyDescent="0.5">
      <c r="B57" s="9">
        <v>29</v>
      </c>
      <c r="C57" s="9">
        <v>7.25</v>
      </c>
      <c r="D57" s="9">
        <v>0</v>
      </c>
    </row>
    <row r="58" spans="2:4" x14ac:dyDescent="0.5">
      <c r="B58" s="9">
        <v>30</v>
      </c>
      <c r="C58" s="9">
        <v>7.5</v>
      </c>
      <c r="D58" s="9">
        <v>0</v>
      </c>
    </row>
    <row r="59" spans="2:4" x14ac:dyDescent="0.5">
      <c r="B59" s="9">
        <v>31</v>
      </c>
      <c r="C59" s="9">
        <v>7.75</v>
      </c>
      <c r="D59" s="9">
        <v>0</v>
      </c>
    </row>
    <row r="60" spans="2:4" x14ac:dyDescent="0.5">
      <c r="B60" s="9">
        <v>32</v>
      </c>
      <c r="C60" s="9">
        <v>8</v>
      </c>
      <c r="D60" s="9">
        <v>0</v>
      </c>
    </row>
    <row r="61" spans="2:4" x14ac:dyDescent="0.5">
      <c r="B61" s="9">
        <v>33</v>
      </c>
      <c r="C61" s="9">
        <v>8.25</v>
      </c>
      <c r="D61" s="9">
        <v>0</v>
      </c>
    </row>
    <row r="62" spans="2:4" x14ac:dyDescent="0.5">
      <c r="B62" s="9">
        <v>34</v>
      </c>
      <c r="C62" s="9">
        <v>8.5</v>
      </c>
      <c r="D62" s="9">
        <v>0</v>
      </c>
    </row>
    <row r="63" spans="2:4" x14ac:dyDescent="0.5">
      <c r="B63" s="9">
        <v>35</v>
      </c>
      <c r="C63" s="9">
        <v>8.75</v>
      </c>
      <c r="D63" s="9">
        <v>0</v>
      </c>
    </row>
    <row r="64" spans="2:4" x14ac:dyDescent="0.5">
      <c r="B64" s="9">
        <v>36</v>
      </c>
      <c r="C64" s="9">
        <v>9</v>
      </c>
      <c r="D64" s="9">
        <v>0</v>
      </c>
    </row>
    <row r="65" spans="2:4" x14ac:dyDescent="0.5">
      <c r="B65" s="9">
        <v>37</v>
      </c>
      <c r="C65" s="9">
        <v>9.25</v>
      </c>
      <c r="D65" s="9">
        <v>0</v>
      </c>
    </row>
    <row r="66" spans="2:4" x14ac:dyDescent="0.5">
      <c r="B66" s="9">
        <v>38</v>
      </c>
      <c r="C66" s="9">
        <v>9.5</v>
      </c>
      <c r="D66" s="9">
        <v>0</v>
      </c>
    </row>
    <row r="67" spans="2:4" x14ac:dyDescent="0.5">
      <c r="B67" s="9">
        <v>39</v>
      </c>
      <c r="C67" s="9">
        <v>9.75</v>
      </c>
      <c r="D67" s="9">
        <v>0</v>
      </c>
    </row>
    <row r="68" spans="2:4" x14ac:dyDescent="0.5">
      <c r="B68" s="9">
        <v>40</v>
      </c>
      <c r="C68" s="9">
        <v>10</v>
      </c>
      <c r="D68" s="9">
        <v>0</v>
      </c>
    </row>
    <row r="69" spans="2:4" x14ac:dyDescent="0.5">
      <c r="B69" s="9">
        <v>41</v>
      </c>
      <c r="C69" s="9">
        <v>10.25</v>
      </c>
      <c r="D69" s="9">
        <v>0</v>
      </c>
    </row>
    <row r="70" spans="2:4" x14ac:dyDescent="0.5">
      <c r="B70" s="9">
        <v>42</v>
      </c>
      <c r="C70" s="9">
        <v>10.5</v>
      </c>
      <c r="D70" s="9">
        <v>0</v>
      </c>
    </row>
    <row r="71" spans="2:4" x14ac:dyDescent="0.5">
      <c r="B71" s="9">
        <v>43</v>
      </c>
      <c r="C71" s="9">
        <v>10.75</v>
      </c>
      <c r="D71" s="9">
        <v>0</v>
      </c>
    </row>
    <row r="72" spans="2:4" x14ac:dyDescent="0.5">
      <c r="B72" s="9">
        <v>44</v>
      </c>
      <c r="C72" s="9">
        <v>11</v>
      </c>
      <c r="D72" s="9">
        <v>0</v>
      </c>
    </row>
    <row r="73" spans="2:4" x14ac:dyDescent="0.5">
      <c r="B73" s="9">
        <v>45</v>
      </c>
      <c r="C73" s="9">
        <v>11.25</v>
      </c>
      <c r="D73" s="9">
        <v>0</v>
      </c>
    </row>
    <row r="74" spans="2:4" x14ac:dyDescent="0.5">
      <c r="B74" s="9">
        <v>46</v>
      </c>
      <c r="C74" s="9">
        <v>11.5</v>
      </c>
      <c r="D74" s="9">
        <v>0</v>
      </c>
    </row>
    <row r="75" spans="2:4" x14ac:dyDescent="0.5">
      <c r="B75" s="9">
        <v>47</v>
      </c>
      <c r="C75" s="9">
        <v>11.75</v>
      </c>
      <c r="D75" s="9">
        <v>0</v>
      </c>
    </row>
    <row r="76" spans="2:4" x14ac:dyDescent="0.5">
      <c r="B76" s="9">
        <v>48</v>
      </c>
      <c r="C76" s="9">
        <v>12</v>
      </c>
      <c r="D76" s="9">
        <v>0</v>
      </c>
    </row>
    <row r="77" spans="2:4" x14ac:dyDescent="0.5">
      <c r="B77" s="9">
        <v>49</v>
      </c>
      <c r="C77" s="9">
        <v>12.25</v>
      </c>
      <c r="D77" s="9">
        <v>0</v>
      </c>
    </row>
    <row r="78" spans="2:4" x14ac:dyDescent="0.5">
      <c r="B78" s="9">
        <v>50</v>
      </c>
      <c r="C78" s="9">
        <v>12.5</v>
      </c>
      <c r="D78" s="9">
        <v>0</v>
      </c>
    </row>
    <row r="79" spans="2:4" x14ac:dyDescent="0.5">
      <c r="B79" s="9">
        <v>51</v>
      </c>
      <c r="C79" s="9">
        <v>12.75</v>
      </c>
      <c r="D79" s="9">
        <v>0</v>
      </c>
    </row>
    <row r="80" spans="2:4" x14ac:dyDescent="0.5">
      <c r="B80" s="9">
        <v>52</v>
      </c>
      <c r="C80" s="9">
        <v>13</v>
      </c>
      <c r="D80" s="9">
        <v>0</v>
      </c>
    </row>
    <row r="81" spans="2:4" x14ac:dyDescent="0.5">
      <c r="B81" s="9">
        <v>53</v>
      </c>
      <c r="C81" s="9">
        <v>13.25</v>
      </c>
      <c r="D81" s="9">
        <v>0</v>
      </c>
    </row>
    <row r="82" spans="2:4" x14ac:dyDescent="0.5">
      <c r="B82" s="9">
        <v>54</v>
      </c>
      <c r="C82" s="9">
        <v>13.5</v>
      </c>
      <c r="D82" s="9">
        <v>0</v>
      </c>
    </row>
    <row r="83" spans="2:4" x14ac:dyDescent="0.5">
      <c r="B83" s="9">
        <v>55</v>
      </c>
      <c r="C83" s="9">
        <v>13.75</v>
      </c>
      <c r="D83" s="9">
        <v>0</v>
      </c>
    </row>
    <row r="84" spans="2:4" x14ac:dyDescent="0.5">
      <c r="B84" s="9">
        <v>56</v>
      </c>
      <c r="C84" s="9">
        <v>14</v>
      </c>
      <c r="D84" s="9">
        <v>0</v>
      </c>
    </row>
    <row r="85" spans="2:4" x14ac:dyDescent="0.5">
      <c r="B85" s="9">
        <v>57</v>
      </c>
      <c r="C85" s="9">
        <v>14.25</v>
      </c>
      <c r="D85" s="9">
        <v>0</v>
      </c>
    </row>
    <row r="86" spans="2:4" x14ac:dyDescent="0.5">
      <c r="B86" s="9">
        <v>58</v>
      </c>
      <c r="C86" s="9">
        <v>14.5</v>
      </c>
      <c r="D86" s="9">
        <v>0</v>
      </c>
    </row>
    <row r="87" spans="2:4" x14ac:dyDescent="0.5">
      <c r="B87" s="9">
        <v>59</v>
      </c>
      <c r="C87" s="9">
        <v>14.75</v>
      </c>
      <c r="D87" s="9">
        <v>0</v>
      </c>
    </row>
    <row r="88" spans="2:4" x14ac:dyDescent="0.5">
      <c r="B88" s="9">
        <v>60</v>
      </c>
      <c r="C88" s="9">
        <v>15</v>
      </c>
      <c r="D88" s="9">
        <v>0</v>
      </c>
    </row>
    <row r="89" spans="2:4" x14ac:dyDescent="0.5">
      <c r="B89" s="9">
        <v>61</v>
      </c>
      <c r="C89" s="9">
        <v>15.25</v>
      </c>
      <c r="D89" s="9">
        <v>0</v>
      </c>
    </row>
    <row r="90" spans="2:4" x14ac:dyDescent="0.5">
      <c r="B90" s="9">
        <v>62</v>
      </c>
      <c r="C90" s="9">
        <v>15.5</v>
      </c>
      <c r="D90" s="9">
        <v>0</v>
      </c>
    </row>
    <row r="91" spans="2:4" x14ac:dyDescent="0.5">
      <c r="B91" s="9">
        <v>63</v>
      </c>
      <c r="C91" s="9">
        <v>15.75</v>
      </c>
      <c r="D91" s="9">
        <v>0</v>
      </c>
    </row>
    <row r="92" spans="2:4" x14ac:dyDescent="0.5">
      <c r="B92" s="9">
        <v>64</v>
      </c>
      <c r="C92" s="9">
        <v>16</v>
      </c>
      <c r="D92" s="9">
        <v>0</v>
      </c>
    </row>
    <row r="93" spans="2:4" x14ac:dyDescent="0.5">
      <c r="B93" s="9">
        <v>65</v>
      </c>
      <c r="C93" s="9">
        <v>16.25</v>
      </c>
      <c r="D93" s="9">
        <v>0</v>
      </c>
    </row>
    <row r="94" spans="2:4" x14ac:dyDescent="0.5">
      <c r="B94" s="9">
        <v>66</v>
      </c>
      <c r="C94" s="9">
        <v>16.5</v>
      </c>
      <c r="D94" s="9">
        <v>0</v>
      </c>
    </row>
    <row r="95" spans="2:4" x14ac:dyDescent="0.5">
      <c r="B95" s="9">
        <v>67</v>
      </c>
      <c r="C95" s="9">
        <v>16.75</v>
      </c>
      <c r="D95" s="9">
        <v>0</v>
      </c>
    </row>
    <row r="96" spans="2:4" x14ac:dyDescent="0.5">
      <c r="B96" s="9">
        <v>68</v>
      </c>
      <c r="C96" s="9">
        <v>17</v>
      </c>
      <c r="D96" s="9">
        <v>0</v>
      </c>
    </row>
    <row r="97" spans="2:4" x14ac:dyDescent="0.5">
      <c r="B97" s="9">
        <v>69</v>
      </c>
      <c r="C97" s="9">
        <v>17.25</v>
      </c>
      <c r="D97" s="9">
        <v>0</v>
      </c>
    </row>
    <row r="98" spans="2:4" x14ac:dyDescent="0.5">
      <c r="B98" s="9">
        <v>70</v>
      </c>
      <c r="C98" s="9">
        <v>17.5</v>
      </c>
      <c r="D98" s="9">
        <v>0</v>
      </c>
    </row>
    <row r="99" spans="2:4" x14ac:dyDescent="0.5">
      <c r="B99" s="9">
        <v>71</v>
      </c>
      <c r="C99" s="9">
        <v>17.75</v>
      </c>
      <c r="D99" s="9">
        <v>0</v>
      </c>
    </row>
    <row r="100" spans="2:4" x14ac:dyDescent="0.5">
      <c r="B100" s="9">
        <v>72</v>
      </c>
      <c r="C100" s="9">
        <v>18</v>
      </c>
      <c r="D100" s="9">
        <v>0</v>
      </c>
    </row>
    <row r="101" spans="2:4" x14ac:dyDescent="0.5">
      <c r="B101" s="9">
        <v>73</v>
      </c>
      <c r="C101" s="9">
        <v>18.25</v>
      </c>
      <c r="D101" s="9">
        <v>0</v>
      </c>
    </row>
    <row r="102" spans="2:4" x14ac:dyDescent="0.5">
      <c r="B102" s="9">
        <v>74</v>
      </c>
      <c r="C102" s="9">
        <v>18.5</v>
      </c>
      <c r="D102" s="9">
        <v>0</v>
      </c>
    </row>
    <row r="103" spans="2:4" x14ac:dyDescent="0.5">
      <c r="B103" s="9">
        <v>75</v>
      </c>
      <c r="C103" s="9">
        <v>18.75</v>
      </c>
      <c r="D103" s="9">
        <v>0</v>
      </c>
    </row>
    <row r="104" spans="2:4" x14ac:dyDescent="0.5">
      <c r="B104" s="9">
        <v>76</v>
      </c>
      <c r="C104" s="9">
        <v>19</v>
      </c>
      <c r="D104" s="9">
        <v>0</v>
      </c>
    </row>
    <row r="105" spans="2:4" x14ac:dyDescent="0.5">
      <c r="B105" s="9">
        <v>77</v>
      </c>
      <c r="C105" s="9">
        <v>19.25</v>
      </c>
      <c r="D105" s="9">
        <v>0</v>
      </c>
    </row>
    <row r="106" spans="2:4" x14ac:dyDescent="0.5">
      <c r="B106" s="9">
        <v>78</v>
      </c>
      <c r="C106" s="9">
        <v>19.5</v>
      </c>
      <c r="D106" s="9">
        <v>0</v>
      </c>
    </row>
    <row r="107" spans="2:4" x14ac:dyDescent="0.5">
      <c r="B107" s="9">
        <v>79</v>
      </c>
      <c r="C107" s="9">
        <v>19.75</v>
      </c>
      <c r="D107" s="9">
        <v>0</v>
      </c>
    </row>
    <row r="108" spans="2:4" x14ac:dyDescent="0.5">
      <c r="B108" s="9">
        <v>80</v>
      </c>
      <c r="C108" s="9">
        <v>20</v>
      </c>
      <c r="D108" s="9">
        <v>0</v>
      </c>
    </row>
    <row r="109" spans="2:4" x14ac:dyDescent="0.5">
      <c r="B109" s="9">
        <v>81</v>
      </c>
      <c r="C109" s="9">
        <v>20.25</v>
      </c>
      <c r="D109" s="9">
        <v>0</v>
      </c>
    </row>
    <row r="110" spans="2:4" x14ac:dyDescent="0.5">
      <c r="B110" s="9">
        <v>82</v>
      </c>
      <c r="C110" s="9">
        <v>20.5</v>
      </c>
      <c r="D110" s="9">
        <v>0</v>
      </c>
    </row>
    <row r="111" spans="2:4" x14ac:dyDescent="0.5">
      <c r="B111" s="9">
        <v>83</v>
      </c>
      <c r="C111" s="9">
        <v>20.75</v>
      </c>
      <c r="D111" s="9">
        <v>0</v>
      </c>
    </row>
    <row r="112" spans="2:4" x14ac:dyDescent="0.5">
      <c r="B112" s="9">
        <v>84</v>
      </c>
      <c r="C112" s="9">
        <v>21</v>
      </c>
      <c r="D112" s="9">
        <v>0</v>
      </c>
    </row>
    <row r="113" spans="2:4" x14ac:dyDescent="0.5">
      <c r="B113" s="9">
        <v>85</v>
      </c>
      <c r="C113" s="9">
        <v>21.25</v>
      </c>
      <c r="D113" s="9">
        <v>0</v>
      </c>
    </row>
    <row r="114" spans="2:4" x14ac:dyDescent="0.5">
      <c r="B114" s="9">
        <v>86</v>
      </c>
      <c r="C114" s="9">
        <v>21.5</v>
      </c>
      <c r="D114" s="9">
        <v>0</v>
      </c>
    </row>
    <row r="115" spans="2:4" x14ac:dyDescent="0.5">
      <c r="B115" s="9">
        <v>87</v>
      </c>
      <c r="C115" s="9">
        <v>21.75</v>
      </c>
      <c r="D115" s="9">
        <v>0</v>
      </c>
    </row>
    <row r="116" spans="2:4" x14ac:dyDescent="0.5">
      <c r="B116" s="9">
        <v>88</v>
      </c>
      <c r="C116" s="9">
        <v>22</v>
      </c>
      <c r="D116" s="9">
        <v>0</v>
      </c>
    </row>
    <row r="117" spans="2:4" x14ac:dyDescent="0.5">
      <c r="B117" s="9">
        <v>89</v>
      </c>
      <c r="C117" s="9">
        <v>22.25</v>
      </c>
      <c r="D117" s="9">
        <v>0</v>
      </c>
    </row>
    <row r="118" spans="2:4" x14ac:dyDescent="0.5">
      <c r="B118" s="9">
        <v>90</v>
      </c>
      <c r="C118" s="9">
        <v>22.5</v>
      </c>
      <c r="D118" s="9">
        <v>0</v>
      </c>
    </row>
    <row r="119" spans="2:4" x14ac:dyDescent="0.5">
      <c r="B119" s="9">
        <v>91</v>
      </c>
      <c r="C119" s="9">
        <v>22.75</v>
      </c>
      <c r="D119" s="9">
        <v>0</v>
      </c>
    </row>
    <row r="120" spans="2:4" x14ac:dyDescent="0.5">
      <c r="B120" s="9">
        <v>92</v>
      </c>
      <c r="C120" s="9">
        <v>23</v>
      </c>
      <c r="D120" s="9">
        <v>0</v>
      </c>
    </row>
    <row r="121" spans="2:4" x14ac:dyDescent="0.5">
      <c r="B121" s="9">
        <v>93</v>
      </c>
      <c r="C121" s="9">
        <v>23.25</v>
      </c>
      <c r="D121" s="9">
        <v>0</v>
      </c>
    </row>
    <row r="122" spans="2:4" x14ac:dyDescent="0.5">
      <c r="B122" s="9">
        <v>94</v>
      </c>
      <c r="C122" s="9">
        <v>23.5</v>
      </c>
      <c r="D122" s="9">
        <v>0</v>
      </c>
    </row>
    <row r="123" spans="2:4" x14ac:dyDescent="0.5">
      <c r="B123" s="9">
        <v>95</v>
      </c>
      <c r="C123" s="9">
        <v>23.75</v>
      </c>
      <c r="D123" s="9">
        <v>0</v>
      </c>
    </row>
    <row r="124" spans="2:4" x14ac:dyDescent="0.5">
      <c r="B124" s="9">
        <v>96</v>
      </c>
      <c r="C124" s="9">
        <v>24</v>
      </c>
      <c r="D124" s="9">
        <v>0</v>
      </c>
    </row>
    <row r="125" spans="2:4" x14ac:dyDescent="0.5">
      <c r="B125" s="9">
        <v>97</v>
      </c>
      <c r="C125" s="9">
        <v>24.25</v>
      </c>
      <c r="D125" s="9">
        <v>0</v>
      </c>
    </row>
    <row r="126" spans="2:4" x14ac:dyDescent="0.5">
      <c r="B126" s="9">
        <v>98</v>
      </c>
      <c r="C126" s="9">
        <v>24.5</v>
      </c>
      <c r="D126" s="9">
        <v>0</v>
      </c>
    </row>
    <row r="127" spans="2:4" x14ac:dyDescent="0.5">
      <c r="B127" s="9">
        <v>99</v>
      </c>
      <c r="C127" s="9">
        <v>24.75</v>
      </c>
      <c r="D127" s="9">
        <v>0</v>
      </c>
    </row>
    <row r="128" spans="2:4" x14ac:dyDescent="0.5">
      <c r="B128" s="9">
        <v>100</v>
      </c>
      <c r="C128" s="9">
        <v>25</v>
      </c>
      <c r="D128" s="9">
        <v>0</v>
      </c>
    </row>
    <row r="129" spans="2:4" x14ac:dyDescent="0.5">
      <c r="B129" s="9">
        <v>101</v>
      </c>
      <c r="C129" s="9">
        <v>25.25</v>
      </c>
      <c r="D129" s="9">
        <v>0</v>
      </c>
    </row>
    <row r="130" spans="2:4" x14ac:dyDescent="0.5">
      <c r="B130" s="9">
        <v>102</v>
      </c>
      <c r="C130" s="9">
        <v>25.5</v>
      </c>
      <c r="D130" s="9">
        <v>0</v>
      </c>
    </row>
    <row r="131" spans="2:4" x14ac:dyDescent="0.5">
      <c r="B131" s="9">
        <v>103</v>
      </c>
      <c r="C131" s="9">
        <v>25.75</v>
      </c>
      <c r="D131" s="9">
        <v>0</v>
      </c>
    </row>
    <row r="132" spans="2:4" x14ac:dyDescent="0.5">
      <c r="B132" s="9">
        <v>104</v>
      </c>
      <c r="C132" s="9">
        <v>26</v>
      </c>
      <c r="D132" s="9">
        <v>0</v>
      </c>
    </row>
    <row r="133" spans="2:4" x14ac:dyDescent="0.5">
      <c r="B133" s="9">
        <v>105</v>
      </c>
      <c r="C133" s="9">
        <v>26.25</v>
      </c>
      <c r="D133" s="9">
        <v>0</v>
      </c>
    </row>
    <row r="134" spans="2:4" x14ac:dyDescent="0.5">
      <c r="B134" s="9">
        <v>106</v>
      </c>
      <c r="C134" s="9">
        <v>26.5</v>
      </c>
      <c r="D134" s="9">
        <v>0</v>
      </c>
    </row>
    <row r="135" spans="2:4" x14ac:dyDescent="0.5">
      <c r="B135" s="9">
        <v>107</v>
      </c>
      <c r="C135" s="9">
        <v>26.75</v>
      </c>
      <c r="D135" s="9">
        <v>0</v>
      </c>
    </row>
    <row r="136" spans="2:4" x14ac:dyDescent="0.5">
      <c r="B136" s="9">
        <v>108</v>
      </c>
      <c r="C136" s="9">
        <v>27</v>
      </c>
      <c r="D136" s="9">
        <v>0</v>
      </c>
    </row>
    <row r="137" spans="2:4" x14ac:dyDescent="0.5">
      <c r="B137" s="9">
        <v>109</v>
      </c>
      <c r="C137" s="9">
        <v>27.25</v>
      </c>
      <c r="D137" s="9">
        <v>0</v>
      </c>
    </row>
    <row r="138" spans="2:4" x14ac:dyDescent="0.5">
      <c r="B138" s="9">
        <v>110</v>
      </c>
      <c r="C138" s="9">
        <v>27.5</v>
      </c>
      <c r="D138" s="9">
        <v>0</v>
      </c>
    </row>
    <row r="139" spans="2:4" x14ac:dyDescent="0.5">
      <c r="B139" s="9">
        <v>111</v>
      </c>
      <c r="C139" s="9">
        <v>27.75</v>
      </c>
      <c r="D139" s="9">
        <v>0</v>
      </c>
    </row>
    <row r="140" spans="2:4" x14ac:dyDescent="0.5">
      <c r="B140" s="9">
        <v>112</v>
      </c>
      <c r="C140" s="9">
        <v>28</v>
      </c>
      <c r="D140" s="9">
        <v>0</v>
      </c>
    </row>
    <row r="141" spans="2:4" x14ac:dyDescent="0.5">
      <c r="B141" s="9">
        <v>113</v>
      </c>
      <c r="C141" s="9">
        <v>28.25</v>
      </c>
      <c r="D141" s="9">
        <v>0</v>
      </c>
    </row>
    <row r="142" spans="2:4" x14ac:dyDescent="0.5">
      <c r="B142" s="9">
        <v>114</v>
      </c>
      <c r="C142" s="9">
        <v>28.5</v>
      </c>
      <c r="D142" s="9">
        <v>0</v>
      </c>
    </row>
    <row r="143" spans="2:4" x14ac:dyDescent="0.5">
      <c r="B143" s="9">
        <v>115</v>
      </c>
      <c r="C143" s="9">
        <v>28.75</v>
      </c>
      <c r="D143" s="9">
        <v>0</v>
      </c>
    </row>
    <row r="144" spans="2:4" x14ac:dyDescent="0.5">
      <c r="B144" s="9">
        <v>116</v>
      </c>
      <c r="C144" s="9">
        <v>29</v>
      </c>
      <c r="D144" s="9">
        <v>0</v>
      </c>
    </row>
    <row r="145" spans="2:4" x14ac:dyDescent="0.5">
      <c r="B145" s="9">
        <v>117</v>
      </c>
      <c r="C145" s="9">
        <v>29.25</v>
      </c>
      <c r="D145" s="9">
        <v>0</v>
      </c>
    </row>
    <row r="146" spans="2:4" x14ac:dyDescent="0.5">
      <c r="B146" s="9">
        <v>118</v>
      </c>
      <c r="C146" s="9">
        <v>29.5</v>
      </c>
      <c r="D146" s="9">
        <v>0</v>
      </c>
    </row>
    <row r="147" spans="2:4" x14ac:dyDescent="0.5">
      <c r="B147" s="9">
        <v>119</v>
      </c>
      <c r="C147" s="9">
        <v>29.75</v>
      </c>
      <c r="D147" s="9">
        <v>0</v>
      </c>
    </row>
    <row r="148" spans="2:4" x14ac:dyDescent="0.5">
      <c r="B148" s="9">
        <v>120</v>
      </c>
      <c r="C148" s="9">
        <v>30</v>
      </c>
      <c r="D148" s="9">
        <v>0</v>
      </c>
    </row>
    <row r="149" spans="2:4" x14ac:dyDescent="0.5">
      <c r="B149" s="9">
        <v>121</v>
      </c>
      <c r="C149" s="9">
        <v>30.25</v>
      </c>
      <c r="D149" s="9">
        <v>0</v>
      </c>
    </row>
    <row r="150" spans="2:4" x14ac:dyDescent="0.5">
      <c r="B150" s="9">
        <v>122</v>
      </c>
      <c r="C150" s="9">
        <v>30.5</v>
      </c>
      <c r="D150" s="9">
        <v>0</v>
      </c>
    </row>
    <row r="151" spans="2:4" x14ac:dyDescent="0.5">
      <c r="B151" s="9">
        <v>123</v>
      </c>
      <c r="C151" s="9">
        <v>30.75</v>
      </c>
      <c r="D151" s="9">
        <v>0</v>
      </c>
    </row>
    <row r="152" spans="2:4" x14ac:dyDescent="0.5">
      <c r="B152" s="9">
        <v>124</v>
      </c>
      <c r="C152" s="9">
        <v>31</v>
      </c>
      <c r="D152" s="9">
        <v>0</v>
      </c>
    </row>
    <row r="153" spans="2:4" x14ac:dyDescent="0.5">
      <c r="B153" s="9">
        <v>125</v>
      </c>
      <c r="C153" s="9">
        <v>31.25</v>
      </c>
      <c r="D153" s="9">
        <v>0</v>
      </c>
    </row>
    <row r="154" spans="2:4" x14ac:dyDescent="0.5">
      <c r="B154" s="9">
        <v>126</v>
      </c>
      <c r="C154" s="9">
        <v>31.5</v>
      </c>
      <c r="D154" s="9">
        <v>0</v>
      </c>
    </row>
    <row r="155" spans="2:4" x14ac:dyDescent="0.5">
      <c r="B155" s="9">
        <v>127</v>
      </c>
      <c r="C155" s="9">
        <v>31.75</v>
      </c>
      <c r="D155" s="9">
        <v>0</v>
      </c>
    </row>
    <row r="156" spans="2:4" x14ac:dyDescent="0.5">
      <c r="B156" s="9">
        <v>128</v>
      </c>
      <c r="C156" s="9">
        <v>32</v>
      </c>
      <c r="D156" s="9">
        <v>0</v>
      </c>
    </row>
    <row r="157" spans="2:4" x14ac:dyDescent="0.5">
      <c r="B157" s="9">
        <v>129</v>
      </c>
      <c r="C157" s="9">
        <v>32.25</v>
      </c>
      <c r="D157" s="9">
        <v>0</v>
      </c>
    </row>
    <row r="158" spans="2:4" x14ac:dyDescent="0.5">
      <c r="B158" s="9">
        <v>130</v>
      </c>
      <c r="C158" s="9">
        <v>32.5</v>
      </c>
      <c r="D158" s="9">
        <v>0</v>
      </c>
    </row>
    <row r="159" spans="2:4" x14ac:dyDescent="0.5">
      <c r="B159" s="9">
        <v>131</v>
      </c>
      <c r="C159" s="9">
        <v>32.75</v>
      </c>
      <c r="D159" s="9">
        <v>0</v>
      </c>
    </row>
    <row r="160" spans="2:4" x14ac:dyDescent="0.5">
      <c r="B160" s="9">
        <v>132</v>
      </c>
      <c r="C160" s="9">
        <v>33</v>
      </c>
      <c r="D160" s="9">
        <v>0</v>
      </c>
    </row>
    <row r="161" spans="2:4" x14ac:dyDescent="0.5">
      <c r="B161" s="9">
        <v>133</v>
      </c>
      <c r="C161" s="9">
        <v>33.25</v>
      </c>
      <c r="D161" s="9">
        <v>0</v>
      </c>
    </row>
    <row r="162" spans="2:4" x14ac:dyDescent="0.5">
      <c r="B162" s="9">
        <v>134</v>
      </c>
      <c r="C162" s="9">
        <v>33.5</v>
      </c>
      <c r="D162" s="9">
        <v>0</v>
      </c>
    </row>
    <row r="163" spans="2:4" x14ac:dyDescent="0.5">
      <c r="B163" s="9">
        <v>135</v>
      </c>
      <c r="C163" s="9">
        <v>33.75</v>
      </c>
      <c r="D163" s="9">
        <v>0</v>
      </c>
    </row>
    <row r="164" spans="2:4" x14ac:dyDescent="0.5">
      <c r="B164" s="9">
        <v>136</v>
      </c>
      <c r="C164" s="9">
        <v>34</v>
      </c>
      <c r="D164" s="9">
        <v>0</v>
      </c>
    </row>
    <row r="165" spans="2:4" x14ac:dyDescent="0.5">
      <c r="B165" s="9">
        <v>137</v>
      </c>
      <c r="C165" s="9">
        <v>34.25</v>
      </c>
      <c r="D165" s="9">
        <v>0</v>
      </c>
    </row>
    <row r="166" spans="2:4" x14ac:dyDescent="0.5">
      <c r="B166" s="9">
        <v>138</v>
      </c>
      <c r="C166" s="9">
        <v>34.5</v>
      </c>
      <c r="D166" s="9">
        <v>0</v>
      </c>
    </row>
    <row r="167" spans="2:4" x14ac:dyDescent="0.5">
      <c r="B167" s="9">
        <v>139</v>
      </c>
      <c r="C167" s="9">
        <v>34.75</v>
      </c>
      <c r="D167" s="9">
        <v>0</v>
      </c>
    </row>
    <row r="168" spans="2:4" x14ac:dyDescent="0.5">
      <c r="B168" s="9">
        <v>140</v>
      </c>
      <c r="C168" s="9">
        <v>35</v>
      </c>
      <c r="D168" s="9">
        <v>0</v>
      </c>
    </row>
    <row r="169" spans="2:4" x14ac:dyDescent="0.5">
      <c r="B169" s="9">
        <v>141</v>
      </c>
      <c r="C169" s="9">
        <v>35.25</v>
      </c>
      <c r="D169" s="9">
        <v>0</v>
      </c>
    </row>
    <row r="170" spans="2:4" x14ac:dyDescent="0.5">
      <c r="B170" s="9">
        <v>142</v>
      </c>
      <c r="C170" s="9">
        <v>35.5</v>
      </c>
      <c r="D170" s="9">
        <v>0</v>
      </c>
    </row>
    <row r="171" spans="2:4" x14ac:dyDescent="0.5">
      <c r="B171" s="9">
        <v>143</v>
      </c>
      <c r="C171" s="9">
        <v>35.75</v>
      </c>
      <c r="D171" s="9">
        <v>0</v>
      </c>
    </row>
    <row r="172" spans="2:4" x14ac:dyDescent="0.5">
      <c r="B172" s="9">
        <v>144</v>
      </c>
      <c r="C172" s="9">
        <v>36</v>
      </c>
      <c r="D172" s="9">
        <v>0</v>
      </c>
    </row>
    <row r="173" spans="2:4" x14ac:dyDescent="0.5">
      <c r="B173" s="9">
        <v>145</v>
      </c>
      <c r="C173" s="9">
        <v>36.25</v>
      </c>
      <c r="D173" s="9">
        <v>0</v>
      </c>
    </row>
    <row r="174" spans="2:4" x14ac:dyDescent="0.5">
      <c r="B174" s="9">
        <v>146</v>
      </c>
      <c r="C174" s="9">
        <v>36.5</v>
      </c>
      <c r="D174" s="9">
        <v>0</v>
      </c>
    </row>
    <row r="175" spans="2:4" x14ac:dyDescent="0.5">
      <c r="B175" s="9">
        <v>147</v>
      </c>
      <c r="C175" s="9">
        <v>36.75</v>
      </c>
      <c r="D175" s="9">
        <v>0</v>
      </c>
    </row>
    <row r="176" spans="2:4" x14ac:dyDescent="0.5">
      <c r="B176" s="9">
        <v>148</v>
      </c>
      <c r="C176" s="9">
        <v>37</v>
      </c>
      <c r="D176" s="9">
        <v>0</v>
      </c>
    </row>
    <row r="177" spans="2:4" x14ac:dyDescent="0.5">
      <c r="B177" s="9">
        <v>149</v>
      </c>
      <c r="C177" s="9">
        <v>37.25</v>
      </c>
      <c r="D177" s="9">
        <v>0</v>
      </c>
    </row>
    <row r="178" spans="2:4" x14ac:dyDescent="0.5">
      <c r="B178" s="9">
        <v>150</v>
      </c>
      <c r="C178" s="9">
        <v>37.5</v>
      </c>
      <c r="D178" s="9">
        <v>0</v>
      </c>
    </row>
    <row r="179" spans="2:4" x14ac:dyDescent="0.5">
      <c r="B179" s="9">
        <v>151</v>
      </c>
      <c r="C179" s="9">
        <v>37.75</v>
      </c>
      <c r="D179" s="9">
        <v>0</v>
      </c>
    </row>
    <row r="180" spans="2:4" x14ac:dyDescent="0.5">
      <c r="B180" s="9">
        <v>152</v>
      </c>
      <c r="C180" s="9">
        <v>38</v>
      </c>
      <c r="D180" s="9">
        <v>0</v>
      </c>
    </row>
    <row r="181" spans="2:4" x14ac:dyDescent="0.5">
      <c r="B181" s="9">
        <v>153</v>
      </c>
      <c r="C181" s="9">
        <v>38.25</v>
      </c>
      <c r="D181" s="9">
        <v>0</v>
      </c>
    </row>
    <row r="182" spans="2:4" x14ac:dyDescent="0.5">
      <c r="B182" s="9">
        <v>154</v>
      </c>
      <c r="C182" s="9">
        <v>38.5</v>
      </c>
      <c r="D182" s="9">
        <v>0</v>
      </c>
    </row>
    <row r="183" spans="2:4" x14ac:dyDescent="0.5">
      <c r="B183" s="9">
        <v>155</v>
      </c>
      <c r="C183" s="9">
        <v>38.75</v>
      </c>
      <c r="D183" s="9">
        <v>0</v>
      </c>
    </row>
    <row r="184" spans="2:4" x14ac:dyDescent="0.5">
      <c r="B184" s="9">
        <v>156</v>
      </c>
      <c r="C184" s="9">
        <v>39</v>
      </c>
      <c r="D184" s="9">
        <v>0</v>
      </c>
    </row>
    <row r="185" spans="2:4" x14ac:dyDescent="0.5">
      <c r="B185" s="9">
        <v>157</v>
      </c>
      <c r="C185" s="9">
        <v>39.25</v>
      </c>
      <c r="D185" s="9">
        <v>0</v>
      </c>
    </row>
    <row r="186" spans="2:4" x14ac:dyDescent="0.5">
      <c r="B186" s="9">
        <v>158</v>
      </c>
      <c r="C186" s="9">
        <v>39.5</v>
      </c>
      <c r="D186" s="9">
        <v>0</v>
      </c>
    </row>
    <row r="187" spans="2:4" x14ac:dyDescent="0.5">
      <c r="B187" s="9">
        <v>159</v>
      </c>
      <c r="C187" s="9">
        <v>39.75</v>
      </c>
      <c r="D187" s="9">
        <v>0</v>
      </c>
    </row>
    <row r="188" spans="2:4" x14ac:dyDescent="0.5">
      <c r="B188" s="9">
        <v>160</v>
      </c>
      <c r="C188" s="9">
        <v>40</v>
      </c>
      <c r="D188" s="9">
        <v>0</v>
      </c>
    </row>
    <row r="189" spans="2:4" x14ac:dyDescent="0.5">
      <c r="B189" s="9">
        <v>161</v>
      </c>
      <c r="C189" s="9">
        <v>40.25</v>
      </c>
      <c r="D189" s="9">
        <v>0</v>
      </c>
    </row>
    <row r="190" spans="2:4" x14ac:dyDescent="0.5">
      <c r="B190" s="9">
        <v>162</v>
      </c>
      <c r="C190" s="9">
        <v>40.5</v>
      </c>
      <c r="D190" s="9">
        <v>0</v>
      </c>
    </row>
    <row r="191" spans="2:4" x14ac:dyDescent="0.5">
      <c r="B191" s="9">
        <v>163</v>
      </c>
      <c r="C191" s="9">
        <v>40.75</v>
      </c>
      <c r="D191" s="9">
        <v>0</v>
      </c>
    </row>
    <row r="192" spans="2:4" x14ac:dyDescent="0.5">
      <c r="B192" s="9">
        <v>164</v>
      </c>
      <c r="C192" s="9">
        <v>41</v>
      </c>
      <c r="D192" s="9">
        <v>0</v>
      </c>
    </row>
    <row r="193" spans="2:4" x14ac:dyDescent="0.5">
      <c r="B193" s="9">
        <v>165</v>
      </c>
      <c r="C193" s="9">
        <v>41.25</v>
      </c>
      <c r="D193" s="9">
        <v>0</v>
      </c>
    </row>
    <row r="194" spans="2:4" x14ac:dyDescent="0.5">
      <c r="B194" s="9">
        <v>166</v>
      </c>
      <c r="C194" s="9">
        <v>41.5</v>
      </c>
      <c r="D194" s="9">
        <v>0</v>
      </c>
    </row>
    <row r="195" spans="2:4" x14ac:dyDescent="0.5">
      <c r="B195" s="9">
        <v>167</v>
      </c>
      <c r="C195" s="9">
        <v>41.75</v>
      </c>
      <c r="D195" s="9">
        <v>0</v>
      </c>
    </row>
    <row r="196" spans="2:4" x14ac:dyDescent="0.5">
      <c r="B196" s="9">
        <v>168</v>
      </c>
      <c r="C196" s="9">
        <v>42</v>
      </c>
      <c r="D196" s="9">
        <v>0</v>
      </c>
    </row>
    <row r="197" spans="2:4" x14ac:dyDescent="0.5">
      <c r="B197" s="9">
        <v>169</v>
      </c>
      <c r="C197" s="9">
        <v>42.25</v>
      </c>
      <c r="D197" s="9">
        <v>0</v>
      </c>
    </row>
    <row r="198" spans="2:4" x14ac:dyDescent="0.5">
      <c r="B198" s="9">
        <v>170</v>
      </c>
      <c r="C198" s="9">
        <v>42.5</v>
      </c>
      <c r="D198" s="9">
        <v>0</v>
      </c>
    </row>
    <row r="199" spans="2:4" x14ac:dyDescent="0.5">
      <c r="B199" s="9">
        <v>171</v>
      </c>
      <c r="C199" s="9">
        <v>42.75</v>
      </c>
      <c r="D199" s="9">
        <v>0</v>
      </c>
    </row>
    <row r="200" spans="2:4" x14ac:dyDescent="0.5">
      <c r="B200" s="9">
        <v>172</v>
      </c>
      <c r="C200" s="9">
        <v>43</v>
      </c>
      <c r="D200" s="9">
        <v>0</v>
      </c>
    </row>
    <row r="201" spans="2:4" x14ac:dyDescent="0.5">
      <c r="B201" s="9">
        <v>173</v>
      </c>
      <c r="C201" s="9">
        <v>43.25</v>
      </c>
      <c r="D201" s="9">
        <v>0</v>
      </c>
    </row>
    <row r="202" spans="2:4" x14ac:dyDescent="0.5">
      <c r="B202" s="9">
        <v>174</v>
      </c>
      <c r="C202" s="9">
        <v>43.5</v>
      </c>
      <c r="D202" s="9">
        <v>0</v>
      </c>
    </row>
    <row r="203" spans="2:4" x14ac:dyDescent="0.5">
      <c r="B203" s="9">
        <v>175</v>
      </c>
      <c r="C203" s="9">
        <v>43.75</v>
      </c>
      <c r="D203" s="9">
        <v>0</v>
      </c>
    </row>
    <row r="204" spans="2:4" x14ac:dyDescent="0.5">
      <c r="B204" s="9">
        <v>176</v>
      </c>
      <c r="C204" s="9">
        <v>44</v>
      </c>
      <c r="D204" s="9">
        <v>0</v>
      </c>
    </row>
    <row r="205" spans="2:4" x14ac:dyDescent="0.5">
      <c r="B205" s="9">
        <v>177</v>
      </c>
      <c r="C205" s="9">
        <v>44.25</v>
      </c>
      <c r="D205" s="9">
        <v>0</v>
      </c>
    </row>
    <row r="206" spans="2:4" x14ac:dyDescent="0.5">
      <c r="B206" s="9">
        <v>178</v>
      </c>
      <c r="C206" s="9">
        <v>44.5</v>
      </c>
      <c r="D206" s="9">
        <v>0</v>
      </c>
    </row>
    <row r="207" spans="2:4" x14ac:dyDescent="0.5">
      <c r="B207" s="9">
        <v>179</v>
      </c>
      <c r="C207" s="9">
        <v>44.75</v>
      </c>
      <c r="D207" s="9">
        <v>0</v>
      </c>
    </row>
    <row r="208" spans="2:4" x14ac:dyDescent="0.5">
      <c r="B208" s="9">
        <v>180</v>
      </c>
      <c r="C208" s="9">
        <v>45</v>
      </c>
      <c r="D208" s="9">
        <v>0</v>
      </c>
    </row>
    <row r="209" spans="2:4" x14ac:dyDescent="0.5">
      <c r="B209" s="9">
        <v>181</v>
      </c>
      <c r="C209" s="9">
        <v>45.25</v>
      </c>
      <c r="D209" s="9">
        <v>0</v>
      </c>
    </row>
    <row r="210" spans="2:4" x14ac:dyDescent="0.5">
      <c r="B210" s="9">
        <v>182</v>
      </c>
      <c r="C210" s="9">
        <v>45.5</v>
      </c>
      <c r="D210" s="9">
        <v>0</v>
      </c>
    </row>
    <row r="211" spans="2:4" x14ac:dyDescent="0.5">
      <c r="B211" s="9">
        <v>183</v>
      </c>
      <c r="C211" s="9">
        <v>45.75</v>
      </c>
      <c r="D211" s="9">
        <v>0</v>
      </c>
    </row>
    <row r="212" spans="2:4" x14ac:dyDescent="0.5">
      <c r="B212" s="9">
        <v>184</v>
      </c>
      <c r="C212" s="9">
        <v>46</v>
      </c>
      <c r="D212" s="9">
        <v>0</v>
      </c>
    </row>
    <row r="213" spans="2:4" x14ac:dyDescent="0.5">
      <c r="B213" s="9">
        <v>185</v>
      </c>
      <c r="C213" s="9">
        <v>46.25</v>
      </c>
      <c r="D213" s="9">
        <v>0</v>
      </c>
    </row>
    <row r="214" spans="2:4" x14ac:dyDescent="0.5">
      <c r="B214" s="9">
        <v>186</v>
      </c>
      <c r="C214" s="9">
        <v>46.5</v>
      </c>
      <c r="D214" s="9">
        <v>0</v>
      </c>
    </row>
    <row r="215" spans="2:4" x14ac:dyDescent="0.5">
      <c r="B215" s="9">
        <v>187</v>
      </c>
      <c r="C215" s="9">
        <v>46.75</v>
      </c>
      <c r="D215" s="9">
        <v>0</v>
      </c>
    </row>
    <row r="216" spans="2:4" x14ac:dyDescent="0.5">
      <c r="B216" s="9">
        <v>188</v>
      </c>
      <c r="C216" s="9">
        <v>47</v>
      </c>
      <c r="D216" s="9">
        <v>0</v>
      </c>
    </row>
    <row r="217" spans="2:4" x14ac:dyDescent="0.5">
      <c r="B217" s="9">
        <v>189</v>
      </c>
      <c r="C217" s="9">
        <v>47.25</v>
      </c>
      <c r="D217" s="9">
        <v>0</v>
      </c>
    </row>
    <row r="218" spans="2:4" x14ac:dyDescent="0.5">
      <c r="B218" s="9">
        <v>190</v>
      </c>
      <c r="C218" s="9">
        <v>47.5</v>
      </c>
      <c r="D218" s="9">
        <v>0</v>
      </c>
    </row>
    <row r="219" spans="2:4" x14ac:dyDescent="0.5">
      <c r="B219" s="9">
        <v>191</v>
      </c>
      <c r="C219" s="9">
        <v>47.75</v>
      </c>
      <c r="D219" s="9">
        <v>0</v>
      </c>
    </row>
    <row r="220" spans="2:4" x14ac:dyDescent="0.5">
      <c r="B220" s="9">
        <v>192</v>
      </c>
      <c r="C220" s="9">
        <v>48</v>
      </c>
      <c r="D220" s="9">
        <v>0</v>
      </c>
    </row>
    <row r="221" spans="2:4" x14ac:dyDescent="0.5">
      <c r="B221" s="9">
        <v>193</v>
      </c>
      <c r="C221" s="9">
        <v>48.25</v>
      </c>
      <c r="D221" s="9">
        <v>0</v>
      </c>
    </row>
    <row r="222" spans="2:4" x14ac:dyDescent="0.5">
      <c r="B222" s="9">
        <v>194</v>
      </c>
      <c r="C222" s="9">
        <v>48.5</v>
      </c>
      <c r="D222" s="9">
        <v>0</v>
      </c>
    </row>
    <row r="223" spans="2:4" x14ac:dyDescent="0.5">
      <c r="B223" s="9">
        <v>195</v>
      </c>
      <c r="C223" s="9">
        <v>48.75</v>
      </c>
      <c r="D223" s="9">
        <v>0</v>
      </c>
    </row>
    <row r="224" spans="2:4" x14ac:dyDescent="0.5">
      <c r="B224" s="9">
        <v>196</v>
      </c>
      <c r="C224" s="9">
        <v>49</v>
      </c>
      <c r="D224" s="9">
        <v>0</v>
      </c>
    </row>
    <row r="225" spans="2:4" x14ac:dyDescent="0.5">
      <c r="B225" s="9">
        <v>197</v>
      </c>
      <c r="C225" s="9">
        <v>49.25</v>
      </c>
      <c r="D225" s="9">
        <v>0</v>
      </c>
    </row>
    <row r="226" spans="2:4" x14ac:dyDescent="0.5">
      <c r="B226" s="9">
        <v>198</v>
      </c>
      <c r="C226" s="9">
        <v>49.5</v>
      </c>
      <c r="D226" s="9">
        <v>0</v>
      </c>
    </row>
    <row r="227" spans="2:4" x14ac:dyDescent="0.5">
      <c r="B227" s="9">
        <v>199</v>
      </c>
      <c r="C227" s="9">
        <v>49.75</v>
      </c>
      <c r="D227" s="9">
        <v>0</v>
      </c>
    </row>
    <row r="228" spans="2:4" x14ac:dyDescent="0.5">
      <c r="B228" s="9">
        <v>200</v>
      </c>
      <c r="C228" s="9">
        <v>50</v>
      </c>
      <c r="D228" s="9">
        <v>0</v>
      </c>
    </row>
    <row r="229" spans="2:4" x14ac:dyDescent="0.5">
      <c r="B229" s="9">
        <v>201</v>
      </c>
      <c r="C229" s="9">
        <v>50.25</v>
      </c>
      <c r="D229" s="9">
        <v>0</v>
      </c>
    </row>
    <row r="230" spans="2:4" x14ac:dyDescent="0.5">
      <c r="B230" s="9">
        <v>202</v>
      </c>
      <c r="C230" s="9">
        <v>50.5</v>
      </c>
      <c r="D230" s="9">
        <v>0</v>
      </c>
    </row>
    <row r="231" spans="2:4" x14ac:dyDescent="0.5">
      <c r="B231" s="9">
        <v>203</v>
      </c>
      <c r="C231" s="9">
        <v>50.75</v>
      </c>
      <c r="D231" s="9">
        <v>0</v>
      </c>
    </row>
    <row r="232" spans="2:4" x14ac:dyDescent="0.5">
      <c r="B232" s="9">
        <v>204</v>
      </c>
      <c r="C232" s="9">
        <v>51</v>
      </c>
      <c r="D232" s="9">
        <v>0</v>
      </c>
    </row>
    <row r="233" spans="2:4" x14ac:dyDescent="0.5">
      <c r="B233" s="9">
        <v>205</v>
      </c>
      <c r="C233" s="9">
        <v>51.25</v>
      </c>
      <c r="D233" s="9">
        <v>0</v>
      </c>
    </row>
    <row r="234" spans="2:4" x14ac:dyDescent="0.5">
      <c r="B234" s="9">
        <v>206</v>
      </c>
      <c r="C234" s="9">
        <v>51.5</v>
      </c>
      <c r="D234" s="9">
        <v>0</v>
      </c>
    </row>
    <row r="235" spans="2:4" x14ac:dyDescent="0.5">
      <c r="B235" s="9">
        <v>207</v>
      </c>
      <c r="C235" s="9">
        <v>51.75</v>
      </c>
      <c r="D235" s="9">
        <v>0</v>
      </c>
    </row>
    <row r="236" spans="2:4" x14ac:dyDescent="0.5">
      <c r="B236" s="9">
        <v>208</v>
      </c>
      <c r="C236" s="9">
        <v>52</v>
      </c>
      <c r="D236" s="9">
        <v>0</v>
      </c>
    </row>
    <row r="237" spans="2:4" x14ac:dyDescent="0.5">
      <c r="B237" s="9">
        <v>209</v>
      </c>
      <c r="C237" s="9">
        <v>52.25</v>
      </c>
      <c r="D237" s="9">
        <v>0</v>
      </c>
    </row>
    <row r="238" spans="2:4" x14ac:dyDescent="0.5">
      <c r="B238" s="9">
        <v>210</v>
      </c>
      <c r="C238" s="9">
        <v>52.5</v>
      </c>
      <c r="D238" s="9">
        <v>0</v>
      </c>
    </row>
    <row r="239" spans="2:4" x14ac:dyDescent="0.5">
      <c r="B239" s="9">
        <v>211</v>
      </c>
      <c r="C239" s="9">
        <v>52.75</v>
      </c>
      <c r="D239" s="9">
        <v>0</v>
      </c>
    </row>
    <row r="240" spans="2:4" x14ac:dyDescent="0.5">
      <c r="B240" s="9">
        <v>212</v>
      </c>
      <c r="C240" s="9">
        <v>53</v>
      </c>
      <c r="D240" s="9">
        <v>0</v>
      </c>
    </row>
    <row r="241" spans="2:4" x14ac:dyDescent="0.5">
      <c r="B241" s="9">
        <v>213</v>
      </c>
      <c r="C241" s="9">
        <v>53.25</v>
      </c>
      <c r="D241" s="9">
        <v>0</v>
      </c>
    </row>
    <row r="242" spans="2:4" x14ac:dyDescent="0.5">
      <c r="B242" s="9">
        <v>214</v>
      </c>
      <c r="C242" s="9">
        <v>53.5</v>
      </c>
      <c r="D242" s="9">
        <v>0</v>
      </c>
    </row>
    <row r="243" spans="2:4" x14ac:dyDescent="0.5">
      <c r="B243" s="9">
        <v>215</v>
      </c>
      <c r="C243" s="9">
        <v>53.75</v>
      </c>
      <c r="D243" s="9">
        <v>0</v>
      </c>
    </row>
    <row r="244" spans="2:4" x14ac:dyDescent="0.5">
      <c r="B244" s="9">
        <v>216</v>
      </c>
      <c r="C244" s="9">
        <v>54</v>
      </c>
      <c r="D244" s="9">
        <v>0</v>
      </c>
    </row>
    <row r="245" spans="2:4" x14ac:dyDescent="0.5">
      <c r="B245" s="9">
        <v>217</v>
      </c>
      <c r="C245" s="9">
        <v>54.25</v>
      </c>
      <c r="D245" s="9">
        <v>0</v>
      </c>
    </row>
    <row r="246" spans="2:4" x14ac:dyDescent="0.5">
      <c r="B246" s="9">
        <v>218</v>
      </c>
      <c r="C246" s="9">
        <v>54.5</v>
      </c>
      <c r="D246" s="9">
        <v>0</v>
      </c>
    </row>
    <row r="247" spans="2:4" x14ac:dyDescent="0.5">
      <c r="B247" s="9">
        <v>219</v>
      </c>
      <c r="C247" s="9">
        <v>54.75</v>
      </c>
      <c r="D247" s="9">
        <v>0</v>
      </c>
    </row>
    <row r="248" spans="2:4" x14ac:dyDescent="0.5">
      <c r="B248" s="9">
        <v>220</v>
      </c>
      <c r="C248" s="9">
        <v>55</v>
      </c>
      <c r="D248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9D43-69FE-454A-9B3B-8DA74B234F90}">
  <dimension ref="B2:B5"/>
  <sheetViews>
    <sheetView showGridLines="0" zoomScale="130" zoomScaleNormal="130" workbookViewId="0">
      <pane ySplit="2" topLeftCell="A3" activePane="bottomLeft" state="frozen"/>
      <selection pane="bottomLeft" activeCell="A3" sqref="A3"/>
    </sheetView>
  </sheetViews>
  <sheetFormatPr defaultRowHeight="16.350000000000001" x14ac:dyDescent="0.65"/>
  <cols>
    <col min="1" max="1" width="2.64453125" style="1" customWidth="1"/>
    <col min="2" max="2" width="83.8203125" style="1" customWidth="1"/>
    <col min="3" max="16384" width="8.9375" style="1"/>
  </cols>
  <sheetData>
    <row r="2" spans="2:2" x14ac:dyDescent="0.65">
      <c r="B2" s="1" t="s">
        <v>11</v>
      </c>
    </row>
    <row r="3" spans="2:2" x14ac:dyDescent="0.65">
      <c r="B3" s="24" t="s">
        <v>10</v>
      </c>
    </row>
    <row r="4" spans="2:2" x14ac:dyDescent="0.65">
      <c r="B4" s="24" t="s">
        <v>55</v>
      </c>
    </row>
    <row r="5" spans="2:2" x14ac:dyDescent="0.65">
      <c r="B5" s="24" t="s">
        <v>54</v>
      </c>
    </row>
  </sheetData>
  <hyperlinks>
    <hyperlink ref="B3" r:id="rId1" xr:uid="{C5D4C617-7B39-48BE-926B-E2B377951EB9}"/>
    <hyperlink ref="B5" r:id="rId2" xr:uid="{C878EF35-3770-44B6-B445-CA0B0F8F1E04}"/>
    <hyperlink ref="B4" r:id="rId3" xr:uid="{040B8A2B-0315-4129-9D29-B0DFE619D64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82D4-B0A3-45ED-9F3F-D11EA85F382E}">
  <dimension ref="B2:D228"/>
  <sheetViews>
    <sheetView showGridLines="0" tabSelected="1" topLeftCell="A209" zoomScale="115" zoomScaleNormal="115" workbookViewId="0">
      <selection activeCell="D8" sqref="D8:D228"/>
    </sheetView>
  </sheetViews>
  <sheetFormatPr defaultRowHeight="16.350000000000001" x14ac:dyDescent="0.5"/>
  <cols>
    <col min="1" max="1" width="2.64453125" style="9" customWidth="1"/>
    <col min="2" max="3" width="17.76171875" style="9" customWidth="1"/>
    <col min="4" max="4" width="16.234375" style="9" customWidth="1"/>
    <col min="5" max="16384" width="8.9375" style="9"/>
  </cols>
  <sheetData>
    <row r="2" spans="2:4" x14ac:dyDescent="0.5">
      <c r="B2" s="9" t="s">
        <v>57</v>
      </c>
    </row>
    <row r="3" spans="2:4" x14ac:dyDescent="0.5">
      <c r="B3" s="9" t="s">
        <v>49</v>
      </c>
      <c r="C3" s="9">
        <v>250</v>
      </c>
    </row>
    <row r="5" spans="2:4" x14ac:dyDescent="0.5">
      <c r="B5" s="9" t="s">
        <v>33</v>
      </c>
    </row>
    <row r="6" spans="2:4" x14ac:dyDescent="0.5">
      <c r="B6" s="9" t="s">
        <v>56</v>
      </c>
    </row>
    <row r="7" spans="2:4" x14ac:dyDescent="0.5">
      <c r="B7" s="9" t="s">
        <v>24</v>
      </c>
      <c r="C7" s="9" t="s">
        <v>23</v>
      </c>
      <c r="D7" s="9" t="s">
        <v>35</v>
      </c>
    </row>
    <row r="8" spans="2:4" x14ac:dyDescent="0.5">
      <c r="B8" s="9">
        <v>0</v>
      </c>
      <c r="C8" s="9">
        <v>0</v>
      </c>
      <c r="D8" s="9">
        <v>0</v>
      </c>
    </row>
    <row r="9" spans="2:4" x14ac:dyDescent="0.5">
      <c r="B9" s="9">
        <v>1</v>
      </c>
      <c r="C9" s="9">
        <v>0.25</v>
      </c>
      <c r="D9" s="9">
        <v>25</v>
      </c>
    </row>
    <row r="10" spans="2:4" x14ac:dyDescent="0.5">
      <c r="B10" s="9">
        <v>2</v>
      </c>
      <c r="C10" s="9">
        <v>0.5</v>
      </c>
      <c r="D10" s="9">
        <v>50</v>
      </c>
    </row>
    <row r="11" spans="2:4" x14ac:dyDescent="0.5">
      <c r="B11" s="9">
        <v>3</v>
      </c>
      <c r="C11" s="9">
        <v>0.75</v>
      </c>
      <c r="D11" s="9">
        <v>75</v>
      </c>
    </row>
    <row r="12" spans="2:4" x14ac:dyDescent="0.5">
      <c r="B12" s="9">
        <v>4</v>
      </c>
      <c r="C12" s="9">
        <v>1</v>
      </c>
      <c r="D12" s="9">
        <v>100</v>
      </c>
    </row>
    <row r="13" spans="2:4" x14ac:dyDescent="0.5">
      <c r="B13" s="9">
        <v>5</v>
      </c>
      <c r="C13" s="9">
        <v>1.25</v>
      </c>
      <c r="D13" s="9">
        <v>87.5</v>
      </c>
    </row>
    <row r="14" spans="2:4" x14ac:dyDescent="0.5">
      <c r="B14" s="9">
        <v>6</v>
      </c>
      <c r="C14" s="9">
        <v>1.5</v>
      </c>
      <c r="D14" s="9">
        <v>75</v>
      </c>
    </row>
    <row r="15" spans="2:4" x14ac:dyDescent="0.5">
      <c r="B15" s="9">
        <v>7</v>
      </c>
      <c r="C15" s="9">
        <v>1.75</v>
      </c>
      <c r="D15" s="9">
        <v>62.5</v>
      </c>
    </row>
    <row r="16" spans="2:4" x14ac:dyDescent="0.5">
      <c r="B16" s="9">
        <v>8</v>
      </c>
      <c r="C16" s="9">
        <v>2</v>
      </c>
      <c r="D16" s="9">
        <v>50</v>
      </c>
    </row>
    <row r="17" spans="2:4" x14ac:dyDescent="0.5">
      <c r="B17" s="9">
        <v>9</v>
      </c>
      <c r="C17" s="9">
        <v>2.25</v>
      </c>
      <c r="D17" s="9">
        <v>37.5</v>
      </c>
    </row>
    <row r="18" spans="2:4" x14ac:dyDescent="0.5">
      <c r="B18" s="9">
        <v>10</v>
      </c>
      <c r="C18" s="9">
        <v>2.5</v>
      </c>
      <c r="D18" s="9">
        <v>25</v>
      </c>
    </row>
    <row r="19" spans="2:4" x14ac:dyDescent="0.5">
      <c r="B19" s="9">
        <v>11</v>
      </c>
      <c r="C19" s="9">
        <v>2.75</v>
      </c>
      <c r="D19" s="9">
        <v>12.5</v>
      </c>
    </row>
    <row r="20" spans="2:4" x14ac:dyDescent="0.5">
      <c r="B20" s="9">
        <v>12</v>
      </c>
      <c r="C20" s="9">
        <v>3</v>
      </c>
      <c r="D20" s="9">
        <v>0</v>
      </c>
    </row>
    <row r="21" spans="2:4" x14ac:dyDescent="0.5">
      <c r="B21" s="9">
        <v>13</v>
      </c>
      <c r="C21" s="9">
        <v>3.25</v>
      </c>
      <c r="D21" s="9">
        <v>0</v>
      </c>
    </row>
    <row r="22" spans="2:4" x14ac:dyDescent="0.5">
      <c r="B22" s="9">
        <v>14</v>
      </c>
      <c r="C22" s="9">
        <v>3.5</v>
      </c>
      <c r="D22" s="9">
        <v>0</v>
      </c>
    </row>
    <row r="23" spans="2:4" x14ac:dyDescent="0.5">
      <c r="B23" s="9">
        <v>15</v>
      </c>
      <c r="C23" s="9">
        <v>3.75</v>
      </c>
      <c r="D23" s="9">
        <v>0</v>
      </c>
    </row>
    <row r="24" spans="2:4" x14ac:dyDescent="0.5">
      <c r="B24" s="9">
        <v>16</v>
      </c>
      <c r="C24" s="9">
        <v>4</v>
      </c>
      <c r="D24" s="9">
        <v>0</v>
      </c>
    </row>
    <row r="25" spans="2:4" x14ac:dyDescent="0.5">
      <c r="B25" s="9">
        <v>17</v>
      </c>
      <c r="C25" s="9">
        <v>4.25</v>
      </c>
      <c r="D25" s="9">
        <v>0</v>
      </c>
    </row>
    <row r="26" spans="2:4" x14ac:dyDescent="0.5">
      <c r="B26" s="9">
        <v>18</v>
      </c>
      <c r="C26" s="9">
        <v>4.5</v>
      </c>
      <c r="D26" s="9">
        <v>0</v>
      </c>
    </row>
    <row r="27" spans="2:4" x14ac:dyDescent="0.5">
      <c r="B27" s="9">
        <v>19</v>
      </c>
      <c r="C27" s="9">
        <v>4.75</v>
      </c>
      <c r="D27" s="9">
        <v>0</v>
      </c>
    </row>
    <row r="28" spans="2:4" x14ac:dyDescent="0.5">
      <c r="B28" s="9">
        <v>20</v>
      </c>
      <c r="C28" s="9">
        <v>5</v>
      </c>
      <c r="D28" s="9">
        <v>0</v>
      </c>
    </row>
    <row r="29" spans="2:4" x14ac:dyDescent="0.5">
      <c r="B29" s="9">
        <v>21</v>
      </c>
      <c r="C29" s="9">
        <v>5.25</v>
      </c>
      <c r="D29" s="9">
        <v>0</v>
      </c>
    </row>
    <row r="30" spans="2:4" x14ac:dyDescent="0.5">
      <c r="B30" s="9">
        <v>22</v>
      </c>
      <c r="C30" s="9">
        <v>5.5</v>
      </c>
      <c r="D30" s="9">
        <v>0</v>
      </c>
    </row>
    <row r="31" spans="2:4" x14ac:dyDescent="0.5">
      <c r="B31" s="9">
        <v>23</v>
      </c>
      <c r="C31" s="9">
        <v>5.75</v>
      </c>
      <c r="D31" s="9">
        <v>0</v>
      </c>
    </row>
    <row r="32" spans="2:4" x14ac:dyDescent="0.5">
      <c r="B32" s="9">
        <v>24</v>
      </c>
      <c r="C32" s="9">
        <v>6</v>
      </c>
      <c r="D32" s="9">
        <v>0</v>
      </c>
    </row>
    <row r="33" spans="2:4" x14ac:dyDescent="0.5">
      <c r="B33" s="9">
        <v>25</v>
      </c>
      <c r="C33" s="9">
        <v>6.25</v>
      </c>
      <c r="D33" s="9">
        <v>0</v>
      </c>
    </row>
    <row r="34" spans="2:4" x14ac:dyDescent="0.5">
      <c r="B34" s="9">
        <v>26</v>
      </c>
      <c r="C34" s="9">
        <v>6.5</v>
      </c>
      <c r="D34" s="9">
        <v>0</v>
      </c>
    </row>
    <row r="35" spans="2:4" x14ac:dyDescent="0.5">
      <c r="B35" s="9">
        <v>27</v>
      </c>
      <c r="C35" s="9">
        <v>6.75</v>
      </c>
      <c r="D35" s="9">
        <v>0</v>
      </c>
    </row>
    <row r="36" spans="2:4" x14ac:dyDescent="0.5">
      <c r="B36" s="9">
        <v>28</v>
      </c>
      <c r="C36" s="9">
        <v>7</v>
      </c>
      <c r="D36" s="9">
        <v>0</v>
      </c>
    </row>
    <row r="37" spans="2:4" x14ac:dyDescent="0.5">
      <c r="B37" s="9">
        <v>29</v>
      </c>
      <c r="C37" s="9">
        <v>7.25</v>
      </c>
      <c r="D37" s="9">
        <v>0</v>
      </c>
    </row>
    <row r="38" spans="2:4" x14ac:dyDescent="0.5">
      <c r="B38" s="9">
        <v>30</v>
      </c>
      <c r="C38" s="9">
        <v>7.5</v>
      </c>
      <c r="D38" s="9">
        <v>0</v>
      </c>
    </row>
    <row r="39" spans="2:4" x14ac:dyDescent="0.5">
      <c r="B39" s="9">
        <v>31</v>
      </c>
      <c r="C39" s="9">
        <v>7.75</v>
      </c>
      <c r="D39" s="9">
        <v>0</v>
      </c>
    </row>
    <row r="40" spans="2:4" x14ac:dyDescent="0.5">
      <c r="B40" s="9">
        <v>32</v>
      </c>
      <c r="C40" s="9">
        <v>8</v>
      </c>
      <c r="D40" s="9">
        <v>0</v>
      </c>
    </row>
    <row r="41" spans="2:4" x14ac:dyDescent="0.5">
      <c r="B41" s="9">
        <v>33</v>
      </c>
      <c r="C41" s="9">
        <v>8.25</v>
      </c>
      <c r="D41" s="9">
        <v>0</v>
      </c>
    </row>
    <row r="42" spans="2:4" x14ac:dyDescent="0.5">
      <c r="B42" s="9">
        <v>34</v>
      </c>
      <c r="C42" s="9">
        <v>8.5</v>
      </c>
      <c r="D42" s="9">
        <v>0</v>
      </c>
    </row>
    <row r="43" spans="2:4" x14ac:dyDescent="0.5">
      <c r="B43" s="9">
        <v>35</v>
      </c>
      <c r="C43" s="9">
        <v>8.75</v>
      </c>
      <c r="D43" s="9">
        <v>0</v>
      </c>
    </row>
    <row r="44" spans="2:4" x14ac:dyDescent="0.5">
      <c r="B44" s="9">
        <v>36</v>
      </c>
      <c r="C44" s="9">
        <v>9</v>
      </c>
      <c r="D44" s="9">
        <v>0</v>
      </c>
    </row>
    <row r="45" spans="2:4" x14ac:dyDescent="0.5">
      <c r="B45" s="9">
        <v>37</v>
      </c>
      <c r="C45" s="9">
        <v>9.25</v>
      </c>
      <c r="D45" s="9">
        <v>0</v>
      </c>
    </row>
    <row r="46" spans="2:4" x14ac:dyDescent="0.5">
      <c r="B46" s="9">
        <v>38</v>
      </c>
      <c r="C46" s="9">
        <v>9.5</v>
      </c>
      <c r="D46" s="9">
        <v>0</v>
      </c>
    </row>
    <row r="47" spans="2:4" x14ac:dyDescent="0.5">
      <c r="B47" s="9">
        <v>39</v>
      </c>
      <c r="C47" s="9">
        <v>9.75</v>
      </c>
      <c r="D47" s="9">
        <v>0</v>
      </c>
    </row>
    <row r="48" spans="2:4" x14ac:dyDescent="0.5">
      <c r="B48" s="9">
        <v>40</v>
      </c>
      <c r="C48" s="9">
        <v>10</v>
      </c>
      <c r="D48" s="9">
        <v>0</v>
      </c>
    </row>
    <row r="49" spans="2:4" x14ac:dyDescent="0.5">
      <c r="B49" s="9">
        <v>41</v>
      </c>
      <c r="C49" s="9">
        <v>10.25</v>
      </c>
      <c r="D49" s="9">
        <v>0</v>
      </c>
    </row>
    <row r="50" spans="2:4" x14ac:dyDescent="0.5">
      <c r="B50" s="9">
        <v>42</v>
      </c>
      <c r="C50" s="9">
        <v>10.5</v>
      </c>
      <c r="D50" s="9">
        <v>0</v>
      </c>
    </row>
    <row r="51" spans="2:4" x14ac:dyDescent="0.5">
      <c r="B51" s="9">
        <v>43</v>
      </c>
      <c r="C51" s="9">
        <v>10.75</v>
      </c>
      <c r="D51" s="9">
        <v>0</v>
      </c>
    </row>
    <row r="52" spans="2:4" x14ac:dyDescent="0.5">
      <c r="B52" s="9">
        <v>44</v>
      </c>
      <c r="C52" s="9">
        <v>11</v>
      </c>
      <c r="D52" s="9">
        <v>0</v>
      </c>
    </row>
    <row r="53" spans="2:4" x14ac:dyDescent="0.5">
      <c r="B53" s="9">
        <v>45</v>
      </c>
      <c r="C53" s="9">
        <v>11.25</v>
      </c>
      <c r="D53" s="9">
        <v>0</v>
      </c>
    </row>
    <row r="54" spans="2:4" x14ac:dyDescent="0.5">
      <c r="B54" s="9">
        <v>46</v>
      </c>
      <c r="C54" s="9">
        <v>11.5</v>
      </c>
      <c r="D54" s="9">
        <v>0</v>
      </c>
    </row>
    <row r="55" spans="2:4" x14ac:dyDescent="0.5">
      <c r="B55" s="9">
        <v>47</v>
      </c>
      <c r="C55" s="9">
        <v>11.75</v>
      </c>
      <c r="D55" s="9">
        <v>0</v>
      </c>
    </row>
    <row r="56" spans="2:4" x14ac:dyDescent="0.5">
      <c r="B56" s="9">
        <v>48</v>
      </c>
      <c r="C56" s="9">
        <v>12</v>
      </c>
      <c r="D56" s="9">
        <v>0</v>
      </c>
    </row>
    <row r="57" spans="2:4" x14ac:dyDescent="0.5">
      <c r="B57" s="9">
        <v>49</v>
      </c>
      <c r="C57" s="9">
        <v>12.25</v>
      </c>
      <c r="D57" s="9">
        <v>0</v>
      </c>
    </row>
    <row r="58" spans="2:4" x14ac:dyDescent="0.5">
      <c r="B58" s="9">
        <v>50</v>
      </c>
      <c r="C58" s="9">
        <v>12.5</v>
      </c>
      <c r="D58" s="9">
        <v>0</v>
      </c>
    </row>
    <row r="59" spans="2:4" x14ac:dyDescent="0.5">
      <c r="B59" s="9">
        <v>51</v>
      </c>
      <c r="C59" s="9">
        <v>12.75</v>
      </c>
      <c r="D59" s="9">
        <v>0</v>
      </c>
    </row>
    <row r="60" spans="2:4" x14ac:dyDescent="0.5">
      <c r="B60" s="9">
        <v>52</v>
      </c>
      <c r="C60" s="9">
        <v>13</v>
      </c>
      <c r="D60" s="9">
        <v>0</v>
      </c>
    </row>
    <row r="61" spans="2:4" x14ac:dyDescent="0.5">
      <c r="B61" s="9">
        <v>53</v>
      </c>
      <c r="C61" s="9">
        <v>13.25</v>
      </c>
      <c r="D61" s="9">
        <v>0</v>
      </c>
    </row>
    <row r="62" spans="2:4" x14ac:dyDescent="0.5">
      <c r="B62" s="9">
        <v>54</v>
      </c>
      <c r="C62" s="9">
        <v>13.5</v>
      </c>
      <c r="D62" s="9">
        <v>0</v>
      </c>
    </row>
    <row r="63" spans="2:4" x14ac:dyDescent="0.5">
      <c r="B63" s="9">
        <v>55</v>
      </c>
      <c r="C63" s="9">
        <v>13.75</v>
      </c>
      <c r="D63" s="9">
        <v>0</v>
      </c>
    </row>
    <row r="64" spans="2:4" x14ac:dyDescent="0.5">
      <c r="B64" s="9">
        <v>56</v>
      </c>
      <c r="C64" s="9">
        <v>14</v>
      </c>
      <c r="D64" s="9">
        <v>0</v>
      </c>
    </row>
    <row r="65" spans="2:4" x14ac:dyDescent="0.5">
      <c r="B65" s="9">
        <v>57</v>
      </c>
      <c r="C65" s="9">
        <v>14.25</v>
      </c>
      <c r="D65" s="9">
        <v>0</v>
      </c>
    </row>
    <row r="66" spans="2:4" x14ac:dyDescent="0.5">
      <c r="B66" s="9">
        <v>58</v>
      </c>
      <c r="C66" s="9">
        <v>14.5</v>
      </c>
      <c r="D66" s="9">
        <v>0</v>
      </c>
    </row>
    <row r="67" spans="2:4" x14ac:dyDescent="0.5">
      <c r="B67" s="9">
        <v>59</v>
      </c>
      <c r="C67" s="9">
        <v>14.75</v>
      </c>
      <c r="D67" s="9">
        <v>0</v>
      </c>
    </row>
    <row r="68" spans="2:4" x14ac:dyDescent="0.5">
      <c r="B68" s="9">
        <v>60</v>
      </c>
      <c r="C68" s="9">
        <v>15</v>
      </c>
      <c r="D68" s="9">
        <v>0</v>
      </c>
    </row>
    <row r="69" spans="2:4" x14ac:dyDescent="0.5">
      <c r="B69" s="9">
        <v>61</v>
      </c>
      <c r="C69" s="9">
        <v>15.25</v>
      </c>
      <c r="D69" s="9">
        <v>0</v>
      </c>
    </row>
    <row r="70" spans="2:4" x14ac:dyDescent="0.5">
      <c r="B70" s="9">
        <v>62</v>
      </c>
      <c r="C70" s="9">
        <v>15.5</v>
      </c>
      <c r="D70" s="9">
        <v>0</v>
      </c>
    </row>
    <row r="71" spans="2:4" x14ac:dyDescent="0.5">
      <c r="B71" s="9">
        <v>63</v>
      </c>
      <c r="C71" s="9">
        <v>15.75</v>
      </c>
      <c r="D71" s="9">
        <v>0</v>
      </c>
    </row>
    <row r="72" spans="2:4" x14ac:dyDescent="0.5">
      <c r="B72" s="9">
        <v>64</v>
      </c>
      <c r="C72" s="9">
        <v>16</v>
      </c>
      <c r="D72" s="9">
        <v>0</v>
      </c>
    </row>
    <row r="73" spans="2:4" x14ac:dyDescent="0.5">
      <c r="B73" s="9">
        <v>65</v>
      </c>
      <c r="C73" s="9">
        <v>16.25</v>
      </c>
      <c r="D73" s="9">
        <v>0</v>
      </c>
    </row>
    <row r="74" spans="2:4" x14ac:dyDescent="0.5">
      <c r="B74" s="9">
        <v>66</v>
      </c>
      <c r="C74" s="9">
        <v>16.5</v>
      </c>
      <c r="D74" s="9">
        <v>0</v>
      </c>
    </row>
    <row r="75" spans="2:4" x14ac:dyDescent="0.5">
      <c r="B75" s="9">
        <v>67</v>
      </c>
      <c r="C75" s="9">
        <v>16.75</v>
      </c>
      <c r="D75" s="9">
        <v>0</v>
      </c>
    </row>
    <row r="76" spans="2:4" x14ac:dyDescent="0.5">
      <c r="B76" s="9">
        <v>68</v>
      </c>
      <c r="C76" s="9">
        <v>17</v>
      </c>
      <c r="D76" s="9">
        <v>0</v>
      </c>
    </row>
    <row r="77" spans="2:4" x14ac:dyDescent="0.5">
      <c r="B77" s="9">
        <v>69</v>
      </c>
      <c r="C77" s="9">
        <v>17.25</v>
      </c>
      <c r="D77" s="9">
        <v>0</v>
      </c>
    </row>
    <row r="78" spans="2:4" x14ac:dyDescent="0.5">
      <c r="B78" s="9">
        <v>70</v>
      </c>
      <c r="C78" s="9">
        <v>17.5</v>
      </c>
      <c r="D78" s="9">
        <v>0</v>
      </c>
    </row>
    <row r="79" spans="2:4" x14ac:dyDescent="0.5">
      <c r="B79" s="9">
        <v>71</v>
      </c>
      <c r="C79" s="9">
        <v>17.75</v>
      </c>
      <c r="D79" s="9">
        <v>0</v>
      </c>
    </row>
    <row r="80" spans="2:4" x14ac:dyDescent="0.5">
      <c r="B80" s="9">
        <v>72</v>
      </c>
      <c r="C80" s="9">
        <v>18</v>
      </c>
      <c r="D80" s="9">
        <v>0</v>
      </c>
    </row>
    <row r="81" spans="2:4" x14ac:dyDescent="0.5">
      <c r="B81" s="9">
        <v>73</v>
      </c>
      <c r="C81" s="9">
        <v>18.25</v>
      </c>
      <c r="D81" s="9">
        <v>0</v>
      </c>
    </row>
    <row r="82" spans="2:4" x14ac:dyDescent="0.5">
      <c r="B82" s="9">
        <v>74</v>
      </c>
      <c r="C82" s="9">
        <v>18.5</v>
      </c>
      <c r="D82" s="9">
        <v>0</v>
      </c>
    </row>
    <row r="83" spans="2:4" x14ac:dyDescent="0.5">
      <c r="B83" s="9">
        <v>75</v>
      </c>
      <c r="C83" s="9">
        <v>18.75</v>
      </c>
      <c r="D83" s="9">
        <v>0</v>
      </c>
    </row>
    <row r="84" spans="2:4" x14ac:dyDescent="0.5">
      <c r="B84" s="9">
        <v>76</v>
      </c>
      <c r="C84" s="9">
        <v>19</v>
      </c>
      <c r="D84" s="9">
        <v>0</v>
      </c>
    </row>
    <row r="85" spans="2:4" x14ac:dyDescent="0.5">
      <c r="B85" s="9">
        <v>77</v>
      </c>
      <c r="C85" s="9">
        <v>19.25</v>
      </c>
      <c r="D85" s="9">
        <v>0</v>
      </c>
    </row>
    <row r="86" spans="2:4" x14ac:dyDescent="0.5">
      <c r="B86" s="9">
        <v>78</v>
      </c>
      <c r="C86" s="9">
        <v>19.5</v>
      </c>
      <c r="D86" s="9">
        <v>0</v>
      </c>
    </row>
    <row r="87" spans="2:4" x14ac:dyDescent="0.5">
      <c r="B87" s="9">
        <v>79</v>
      </c>
      <c r="C87" s="9">
        <v>19.75</v>
      </c>
      <c r="D87" s="9">
        <v>0</v>
      </c>
    </row>
    <row r="88" spans="2:4" x14ac:dyDescent="0.5">
      <c r="B88" s="9">
        <v>80</v>
      </c>
      <c r="C88" s="9">
        <v>20</v>
      </c>
      <c r="D88" s="9">
        <v>0</v>
      </c>
    </row>
    <row r="89" spans="2:4" x14ac:dyDescent="0.5">
      <c r="B89" s="9">
        <v>81</v>
      </c>
      <c r="C89" s="9">
        <v>20.25</v>
      </c>
      <c r="D89" s="9">
        <v>0</v>
      </c>
    </row>
    <row r="90" spans="2:4" x14ac:dyDescent="0.5">
      <c r="B90" s="9">
        <v>82</v>
      </c>
      <c r="C90" s="9">
        <v>20.5</v>
      </c>
      <c r="D90" s="9">
        <v>0</v>
      </c>
    </row>
    <row r="91" spans="2:4" x14ac:dyDescent="0.5">
      <c r="B91" s="9">
        <v>83</v>
      </c>
      <c r="C91" s="9">
        <v>20.75</v>
      </c>
      <c r="D91" s="9">
        <v>0</v>
      </c>
    </row>
    <row r="92" spans="2:4" x14ac:dyDescent="0.5">
      <c r="B92" s="9">
        <v>84</v>
      </c>
      <c r="C92" s="9">
        <v>21</v>
      </c>
      <c r="D92" s="9">
        <v>0</v>
      </c>
    </row>
    <row r="93" spans="2:4" x14ac:dyDescent="0.5">
      <c r="B93" s="9">
        <v>85</v>
      </c>
      <c r="C93" s="9">
        <v>21.25</v>
      </c>
      <c r="D93" s="9">
        <v>0</v>
      </c>
    </row>
    <row r="94" spans="2:4" x14ac:dyDescent="0.5">
      <c r="B94" s="9">
        <v>86</v>
      </c>
      <c r="C94" s="9">
        <v>21.5</v>
      </c>
      <c r="D94" s="9">
        <v>0</v>
      </c>
    </row>
    <row r="95" spans="2:4" x14ac:dyDescent="0.5">
      <c r="B95" s="9">
        <v>87</v>
      </c>
      <c r="C95" s="9">
        <v>21.75</v>
      </c>
      <c r="D95" s="9">
        <v>0</v>
      </c>
    </row>
    <row r="96" spans="2:4" x14ac:dyDescent="0.5">
      <c r="B96" s="9">
        <v>88</v>
      </c>
      <c r="C96" s="9">
        <v>22</v>
      </c>
      <c r="D96" s="9">
        <v>0</v>
      </c>
    </row>
    <row r="97" spans="2:4" x14ac:dyDescent="0.5">
      <c r="B97" s="9">
        <v>89</v>
      </c>
      <c r="C97" s="9">
        <v>22.25</v>
      </c>
      <c r="D97" s="9">
        <v>0</v>
      </c>
    </row>
    <row r="98" spans="2:4" x14ac:dyDescent="0.5">
      <c r="B98" s="9">
        <v>90</v>
      </c>
      <c r="C98" s="9">
        <v>22.5</v>
      </c>
      <c r="D98" s="9">
        <v>0</v>
      </c>
    </row>
    <row r="99" spans="2:4" x14ac:dyDescent="0.5">
      <c r="B99" s="9">
        <v>91</v>
      </c>
      <c r="C99" s="9">
        <v>22.75</v>
      </c>
      <c r="D99" s="9">
        <v>0</v>
      </c>
    </row>
    <row r="100" spans="2:4" x14ac:dyDescent="0.5">
      <c r="B100" s="9">
        <v>92</v>
      </c>
      <c r="C100" s="9">
        <v>23</v>
      </c>
      <c r="D100" s="9">
        <v>0</v>
      </c>
    </row>
    <row r="101" spans="2:4" x14ac:dyDescent="0.5">
      <c r="B101" s="9">
        <v>93</v>
      </c>
      <c r="C101" s="9">
        <v>23.25</v>
      </c>
      <c r="D101" s="9">
        <v>0</v>
      </c>
    </row>
    <row r="102" spans="2:4" x14ac:dyDescent="0.5">
      <c r="B102" s="9">
        <v>94</v>
      </c>
      <c r="C102" s="9">
        <v>23.5</v>
      </c>
      <c r="D102" s="9">
        <v>0</v>
      </c>
    </row>
    <row r="103" spans="2:4" x14ac:dyDescent="0.5">
      <c r="B103" s="9">
        <v>95</v>
      </c>
      <c r="C103" s="9">
        <v>23.75</v>
      </c>
      <c r="D103" s="9">
        <v>0</v>
      </c>
    </row>
    <row r="104" spans="2:4" x14ac:dyDescent="0.5">
      <c r="B104" s="9">
        <v>96</v>
      </c>
      <c r="C104" s="9">
        <v>24</v>
      </c>
      <c r="D104" s="9">
        <v>0</v>
      </c>
    </row>
    <row r="105" spans="2:4" x14ac:dyDescent="0.5">
      <c r="B105" s="9">
        <v>97</v>
      </c>
      <c r="C105" s="9">
        <v>24.25</v>
      </c>
      <c r="D105" s="9">
        <v>0</v>
      </c>
    </row>
    <row r="106" spans="2:4" x14ac:dyDescent="0.5">
      <c r="B106" s="9">
        <v>98</v>
      </c>
      <c r="C106" s="9">
        <v>24.5</v>
      </c>
      <c r="D106" s="9">
        <v>0</v>
      </c>
    </row>
    <row r="107" spans="2:4" x14ac:dyDescent="0.5">
      <c r="B107" s="9">
        <v>99</v>
      </c>
      <c r="C107" s="9">
        <v>24.75</v>
      </c>
      <c r="D107" s="9">
        <v>0</v>
      </c>
    </row>
    <row r="108" spans="2:4" x14ac:dyDescent="0.5">
      <c r="B108" s="9">
        <v>100</v>
      </c>
      <c r="C108" s="9">
        <v>25</v>
      </c>
      <c r="D108" s="9">
        <v>0</v>
      </c>
    </row>
    <row r="109" spans="2:4" x14ac:dyDescent="0.5">
      <c r="B109" s="9">
        <v>101</v>
      </c>
      <c r="C109" s="9">
        <v>25.25</v>
      </c>
      <c r="D109" s="9">
        <v>0</v>
      </c>
    </row>
    <row r="110" spans="2:4" x14ac:dyDescent="0.5">
      <c r="B110" s="9">
        <v>102</v>
      </c>
      <c r="C110" s="9">
        <v>25.5</v>
      </c>
      <c r="D110" s="9">
        <v>0</v>
      </c>
    </row>
    <row r="111" spans="2:4" x14ac:dyDescent="0.5">
      <c r="B111" s="9">
        <v>103</v>
      </c>
      <c r="C111" s="9">
        <v>25.75</v>
      </c>
      <c r="D111" s="9">
        <v>0</v>
      </c>
    </row>
    <row r="112" spans="2:4" x14ac:dyDescent="0.5">
      <c r="B112" s="9">
        <v>104</v>
      </c>
      <c r="C112" s="9">
        <v>26</v>
      </c>
      <c r="D112" s="9">
        <v>0</v>
      </c>
    </row>
    <row r="113" spans="2:4" x14ac:dyDescent="0.5">
      <c r="B113" s="9">
        <v>105</v>
      </c>
      <c r="C113" s="9">
        <v>26.25</v>
      </c>
      <c r="D113" s="9">
        <v>0</v>
      </c>
    </row>
    <row r="114" spans="2:4" x14ac:dyDescent="0.5">
      <c r="B114" s="9">
        <v>106</v>
      </c>
      <c r="C114" s="9">
        <v>26.5</v>
      </c>
      <c r="D114" s="9">
        <v>0</v>
      </c>
    </row>
    <row r="115" spans="2:4" x14ac:dyDescent="0.5">
      <c r="B115" s="9">
        <v>107</v>
      </c>
      <c r="C115" s="9">
        <v>26.75</v>
      </c>
      <c r="D115" s="9">
        <v>0</v>
      </c>
    </row>
    <row r="116" spans="2:4" x14ac:dyDescent="0.5">
      <c r="B116" s="9">
        <v>108</v>
      </c>
      <c r="C116" s="9">
        <v>27</v>
      </c>
      <c r="D116" s="9">
        <v>0</v>
      </c>
    </row>
    <row r="117" spans="2:4" x14ac:dyDescent="0.5">
      <c r="B117" s="9">
        <v>109</v>
      </c>
      <c r="C117" s="9">
        <v>27.25</v>
      </c>
      <c r="D117" s="9">
        <v>0</v>
      </c>
    </row>
    <row r="118" spans="2:4" x14ac:dyDescent="0.5">
      <c r="B118" s="9">
        <v>110</v>
      </c>
      <c r="C118" s="9">
        <v>27.5</v>
      </c>
      <c r="D118" s="9">
        <v>0</v>
      </c>
    </row>
    <row r="119" spans="2:4" x14ac:dyDescent="0.5">
      <c r="B119" s="9">
        <v>111</v>
      </c>
      <c r="C119" s="9">
        <v>27.75</v>
      </c>
      <c r="D119" s="9">
        <v>0</v>
      </c>
    </row>
    <row r="120" spans="2:4" x14ac:dyDescent="0.5">
      <c r="B120" s="9">
        <v>112</v>
      </c>
      <c r="C120" s="9">
        <v>28</v>
      </c>
      <c r="D120" s="9">
        <v>0</v>
      </c>
    </row>
    <row r="121" spans="2:4" x14ac:dyDescent="0.5">
      <c r="B121" s="9">
        <v>113</v>
      </c>
      <c r="C121" s="9">
        <v>28.25</v>
      </c>
      <c r="D121" s="9">
        <v>0</v>
      </c>
    </row>
    <row r="122" spans="2:4" x14ac:dyDescent="0.5">
      <c r="B122" s="9">
        <v>114</v>
      </c>
      <c r="C122" s="9">
        <v>28.5</v>
      </c>
      <c r="D122" s="9">
        <v>0</v>
      </c>
    </row>
    <row r="123" spans="2:4" x14ac:dyDescent="0.5">
      <c r="B123" s="9">
        <v>115</v>
      </c>
      <c r="C123" s="9">
        <v>28.75</v>
      </c>
      <c r="D123" s="9">
        <v>0</v>
      </c>
    </row>
    <row r="124" spans="2:4" x14ac:dyDescent="0.5">
      <c r="B124" s="9">
        <v>116</v>
      </c>
      <c r="C124" s="9">
        <v>29</v>
      </c>
      <c r="D124" s="9">
        <v>0</v>
      </c>
    </row>
    <row r="125" spans="2:4" x14ac:dyDescent="0.5">
      <c r="B125" s="9">
        <v>117</v>
      </c>
      <c r="C125" s="9">
        <v>29.25</v>
      </c>
      <c r="D125" s="9">
        <v>0</v>
      </c>
    </row>
    <row r="126" spans="2:4" x14ac:dyDescent="0.5">
      <c r="B126" s="9">
        <v>118</v>
      </c>
      <c r="C126" s="9">
        <v>29.5</v>
      </c>
      <c r="D126" s="9">
        <v>0</v>
      </c>
    </row>
    <row r="127" spans="2:4" x14ac:dyDescent="0.5">
      <c r="B127" s="9">
        <v>119</v>
      </c>
      <c r="C127" s="9">
        <v>29.75</v>
      </c>
      <c r="D127" s="9">
        <v>0</v>
      </c>
    </row>
    <row r="128" spans="2:4" x14ac:dyDescent="0.5">
      <c r="B128" s="9">
        <v>120</v>
      </c>
      <c r="C128" s="9">
        <v>30</v>
      </c>
      <c r="D128" s="9">
        <v>0</v>
      </c>
    </row>
    <row r="129" spans="2:4" x14ac:dyDescent="0.5">
      <c r="B129" s="9">
        <v>121</v>
      </c>
      <c r="C129" s="9">
        <v>30.25</v>
      </c>
      <c r="D129" s="9">
        <v>0</v>
      </c>
    </row>
    <row r="130" spans="2:4" x14ac:dyDescent="0.5">
      <c r="B130" s="9">
        <v>122</v>
      </c>
      <c r="C130" s="9">
        <v>30.5</v>
      </c>
      <c r="D130" s="9">
        <v>0</v>
      </c>
    </row>
    <row r="131" spans="2:4" x14ac:dyDescent="0.5">
      <c r="B131" s="9">
        <v>123</v>
      </c>
      <c r="C131" s="9">
        <v>30.75</v>
      </c>
      <c r="D131" s="9">
        <v>0</v>
      </c>
    </row>
    <row r="132" spans="2:4" x14ac:dyDescent="0.5">
      <c r="B132" s="9">
        <v>124</v>
      </c>
      <c r="C132" s="9">
        <v>31</v>
      </c>
      <c r="D132" s="9">
        <v>0</v>
      </c>
    </row>
    <row r="133" spans="2:4" x14ac:dyDescent="0.5">
      <c r="B133" s="9">
        <v>125</v>
      </c>
      <c r="C133" s="9">
        <v>31.25</v>
      </c>
      <c r="D133" s="9">
        <v>0</v>
      </c>
    </row>
    <row r="134" spans="2:4" x14ac:dyDescent="0.5">
      <c r="B134" s="9">
        <v>126</v>
      </c>
      <c r="C134" s="9">
        <v>31.5</v>
      </c>
      <c r="D134" s="9">
        <v>0</v>
      </c>
    </row>
    <row r="135" spans="2:4" x14ac:dyDescent="0.5">
      <c r="B135" s="9">
        <v>127</v>
      </c>
      <c r="C135" s="9">
        <v>31.75</v>
      </c>
      <c r="D135" s="9">
        <v>0</v>
      </c>
    </row>
    <row r="136" spans="2:4" x14ac:dyDescent="0.5">
      <c r="B136" s="9">
        <v>128</v>
      </c>
      <c r="C136" s="9">
        <v>32</v>
      </c>
      <c r="D136" s="9">
        <v>0</v>
      </c>
    </row>
    <row r="137" spans="2:4" x14ac:dyDescent="0.5">
      <c r="B137" s="9">
        <v>129</v>
      </c>
      <c r="C137" s="9">
        <v>32.25</v>
      </c>
      <c r="D137" s="9">
        <v>0</v>
      </c>
    </row>
    <row r="138" spans="2:4" x14ac:dyDescent="0.5">
      <c r="B138" s="9">
        <v>130</v>
      </c>
      <c r="C138" s="9">
        <v>32.5</v>
      </c>
      <c r="D138" s="9">
        <v>0</v>
      </c>
    </row>
    <row r="139" spans="2:4" x14ac:dyDescent="0.5">
      <c r="B139" s="9">
        <v>131</v>
      </c>
      <c r="C139" s="9">
        <v>32.75</v>
      </c>
      <c r="D139" s="9">
        <v>0</v>
      </c>
    </row>
    <row r="140" spans="2:4" x14ac:dyDescent="0.5">
      <c r="B140" s="9">
        <v>132</v>
      </c>
      <c r="C140" s="9">
        <v>33</v>
      </c>
      <c r="D140" s="9">
        <v>0</v>
      </c>
    </row>
    <row r="141" spans="2:4" x14ac:dyDescent="0.5">
      <c r="B141" s="9">
        <v>133</v>
      </c>
      <c r="C141" s="9">
        <v>33.25</v>
      </c>
      <c r="D141" s="9">
        <v>0</v>
      </c>
    </row>
    <row r="142" spans="2:4" x14ac:dyDescent="0.5">
      <c r="B142" s="9">
        <v>134</v>
      </c>
      <c r="C142" s="9">
        <v>33.5</v>
      </c>
      <c r="D142" s="9">
        <v>0</v>
      </c>
    </row>
    <row r="143" spans="2:4" x14ac:dyDescent="0.5">
      <c r="B143" s="9">
        <v>135</v>
      </c>
      <c r="C143" s="9">
        <v>33.75</v>
      </c>
      <c r="D143" s="9">
        <v>0</v>
      </c>
    </row>
    <row r="144" spans="2:4" x14ac:dyDescent="0.5">
      <c r="B144" s="9">
        <v>136</v>
      </c>
      <c r="C144" s="9">
        <v>34</v>
      </c>
      <c r="D144" s="9">
        <v>0</v>
      </c>
    </row>
    <row r="145" spans="2:4" x14ac:dyDescent="0.5">
      <c r="B145" s="9">
        <v>137</v>
      </c>
      <c r="C145" s="9">
        <v>34.25</v>
      </c>
      <c r="D145" s="9">
        <v>0</v>
      </c>
    </row>
    <row r="146" spans="2:4" x14ac:dyDescent="0.5">
      <c r="B146" s="9">
        <v>138</v>
      </c>
      <c r="C146" s="9">
        <v>34.5</v>
      </c>
      <c r="D146" s="9">
        <v>0</v>
      </c>
    </row>
    <row r="147" spans="2:4" x14ac:dyDescent="0.5">
      <c r="B147" s="9">
        <v>139</v>
      </c>
      <c r="C147" s="9">
        <v>34.75</v>
      </c>
      <c r="D147" s="9">
        <v>0</v>
      </c>
    </row>
    <row r="148" spans="2:4" x14ac:dyDescent="0.5">
      <c r="B148" s="9">
        <v>140</v>
      </c>
      <c r="C148" s="9">
        <v>35</v>
      </c>
      <c r="D148" s="9">
        <v>0</v>
      </c>
    </row>
    <row r="149" spans="2:4" x14ac:dyDescent="0.5">
      <c r="B149" s="9">
        <v>141</v>
      </c>
      <c r="C149" s="9">
        <v>35.25</v>
      </c>
      <c r="D149" s="9">
        <v>0</v>
      </c>
    </row>
    <row r="150" spans="2:4" x14ac:dyDescent="0.5">
      <c r="B150" s="9">
        <v>142</v>
      </c>
      <c r="C150" s="9">
        <v>35.5</v>
      </c>
      <c r="D150" s="9">
        <v>0</v>
      </c>
    </row>
    <row r="151" spans="2:4" x14ac:dyDescent="0.5">
      <c r="B151" s="9">
        <v>143</v>
      </c>
      <c r="C151" s="9">
        <v>35.75</v>
      </c>
      <c r="D151" s="9">
        <v>0</v>
      </c>
    </row>
    <row r="152" spans="2:4" x14ac:dyDescent="0.5">
      <c r="B152" s="9">
        <v>144</v>
      </c>
      <c r="C152" s="9">
        <v>36</v>
      </c>
      <c r="D152" s="9">
        <v>0</v>
      </c>
    </row>
    <row r="153" spans="2:4" x14ac:dyDescent="0.5">
      <c r="B153" s="9">
        <v>145</v>
      </c>
      <c r="C153" s="9">
        <v>36.25</v>
      </c>
      <c r="D153" s="9">
        <v>0</v>
      </c>
    </row>
    <row r="154" spans="2:4" x14ac:dyDescent="0.5">
      <c r="B154" s="9">
        <v>146</v>
      </c>
      <c r="C154" s="9">
        <v>36.5</v>
      </c>
      <c r="D154" s="9">
        <v>0</v>
      </c>
    </row>
    <row r="155" spans="2:4" x14ac:dyDescent="0.5">
      <c r="B155" s="9">
        <v>147</v>
      </c>
      <c r="C155" s="9">
        <v>36.75</v>
      </c>
      <c r="D155" s="9">
        <v>0</v>
      </c>
    </row>
    <row r="156" spans="2:4" x14ac:dyDescent="0.5">
      <c r="B156" s="9">
        <v>148</v>
      </c>
      <c r="C156" s="9">
        <v>37</v>
      </c>
      <c r="D156" s="9">
        <v>0</v>
      </c>
    </row>
    <row r="157" spans="2:4" x14ac:dyDescent="0.5">
      <c r="B157" s="9">
        <v>149</v>
      </c>
      <c r="C157" s="9">
        <v>37.25</v>
      </c>
      <c r="D157" s="9">
        <v>0</v>
      </c>
    </row>
    <row r="158" spans="2:4" x14ac:dyDescent="0.5">
      <c r="B158" s="9">
        <v>150</v>
      </c>
      <c r="C158" s="9">
        <v>37.5</v>
      </c>
      <c r="D158" s="9">
        <v>0</v>
      </c>
    </row>
    <row r="159" spans="2:4" x14ac:dyDescent="0.5">
      <c r="B159" s="9">
        <v>151</v>
      </c>
      <c r="C159" s="9">
        <v>37.75</v>
      </c>
      <c r="D159" s="9">
        <v>0</v>
      </c>
    </row>
    <row r="160" spans="2:4" x14ac:dyDescent="0.5">
      <c r="B160" s="9">
        <v>152</v>
      </c>
      <c r="C160" s="9">
        <v>38</v>
      </c>
      <c r="D160" s="9">
        <v>0</v>
      </c>
    </row>
    <row r="161" spans="2:4" x14ac:dyDescent="0.5">
      <c r="B161" s="9">
        <v>153</v>
      </c>
      <c r="C161" s="9">
        <v>38.25</v>
      </c>
      <c r="D161" s="9">
        <v>0</v>
      </c>
    </row>
    <row r="162" spans="2:4" x14ac:dyDescent="0.5">
      <c r="B162" s="9">
        <v>154</v>
      </c>
      <c r="C162" s="9">
        <v>38.5</v>
      </c>
      <c r="D162" s="9">
        <v>0</v>
      </c>
    </row>
    <row r="163" spans="2:4" x14ac:dyDescent="0.5">
      <c r="B163" s="9">
        <v>155</v>
      </c>
      <c r="C163" s="9">
        <v>38.75</v>
      </c>
      <c r="D163" s="9">
        <v>0</v>
      </c>
    </row>
    <row r="164" spans="2:4" x14ac:dyDescent="0.5">
      <c r="B164" s="9">
        <v>156</v>
      </c>
      <c r="C164" s="9">
        <v>39</v>
      </c>
      <c r="D164" s="9">
        <v>0</v>
      </c>
    </row>
    <row r="165" spans="2:4" x14ac:dyDescent="0.5">
      <c r="B165" s="9">
        <v>157</v>
      </c>
      <c r="C165" s="9">
        <v>39.25</v>
      </c>
      <c r="D165" s="9">
        <v>0</v>
      </c>
    </row>
    <row r="166" spans="2:4" x14ac:dyDescent="0.5">
      <c r="B166" s="9">
        <v>158</v>
      </c>
      <c r="C166" s="9">
        <v>39.5</v>
      </c>
      <c r="D166" s="9">
        <v>0</v>
      </c>
    </row>
    <row r="167" spans="2:4" x14ac:dyDescent="0.5">
      <c r="B167" s="9">
        <v>159</v>
      </c>
      <c r="C167" s="9">
        <v>39.75</v>
      </c>
      <c r="D167" s="9">
        <v>0</v>
      </c>
    </row>
    <row r="168" spans="2:4" x14ac:dyDescent="0.5">
      <c r="B168" s="9">
        <v>160</v>
      </c>
      <c r="C168" s="9">
        <v>40</v>
      </c>
      <c r="D168" s="9">
        <v>0</v>
      </c>
    </row>
    <row r="169" spans="2:4" x14ac:dyDescent="0.5">
      <c r="B169" s="9">
        <v>161</v>
      </c>
      <c r="C169" s="9">
        <v>40.25</v>
      </c>
      <c r="D169" s="9">
        <v>0</v>
      </c>
    </row>
    <row r="170" spans="2:4" x14ac:dyDescent="0.5">
      <c r="B170" s="9">
        <v>162</v>
      </c>
      <c r="C170" s="9">
        <v>40.5</v>
      </c>
      <c r="D170" s="9">
        <v>0</v>
      </c>
    </row>
    <row r="171" spans="2:4" x14ac:dyDescent="0.5">
      <c r="B171" s="9">
        <v>163</v>
      </c>
      <c r="C171" s="9">
        <v>40.75</v>
      </c>
      <c r="D171" s="9">
        <v>0</v>
      </c>
    </row>
    <row r="172" spans="2:4" x14ac:dyDescent="0.5">
      <c r="B172" s="9">
        <v>164</v>
      </c>
      <c r="C172" s="9">
        <v>41</v>
      </c>
      <c r="D172" s="9">
        <v>0</v>
      </c>
    </row>
    <row r="173" spans="2:4" x14ac:dyDescent="0.5">
      <c r="B173" s="9">
        <v>165</v>
      </c>
      <c r="C173" s="9">
        <v>41.25</v>
      </c>
      <c r="D173" s="9">
        <v>0</v>
      </c>
    </row>
    <row r="174" spans="2:4" x14ac:dyDescent="0.5">
      <c r="B174" s="9">
        <v>166</v>
      </c>
      <c r="C174" s="9">
        <v>41.5</v>
      </c>
      <c r="D174" s="9">
        <v>0</v>
      </c>
    </row>
    <row r="175" spans="2:4" x14ac:dyDescent="0.5">
      <c r="B175" s="9">
        <v>167</v>
      </c>
      <c r="C175" s="9">
        <v>41.75</v>
      </c>
      <c r="D175" s="9">
        <v>0</v>
      </c>
    </row>
    <row r="176" spans="2:4" x14ac:dyDescent="0.5">
      <c r="B176" s="9">
        <v>168</v>
      </c>
      <c r="C176" s="9">
        <v>42</v>
      </c>
      <c r="D176" s="9">
        <v>0</v>
      </c>
    </row>
    <row r="177" spans="2:4" x14ac:dyDescent="0.5">
      <c r="B177" s="9">
        <v>169</v>
      </c>
      <c r="C177" s="9">
        <v>42.25</v>
      </c>
      <c r="D177" s="9">
        <v>0</v>
      </c>
    </row>
    <row r="178" spans="2:4" x14ac:dyDescent="0.5">
      <c r="B178" s="9">
        <v>170</v>
      </c>
      <c r="C178" s="9">
        <v>42.5</v>
      </c>
      <c r="D178" s="9">
        <v>0</v>
      </c>
    </row>
    <row r="179" spans="2:4" x14ac:dyDescent="0.5">
      <c r="B179" s="9">
        <v>171</v>
      </c>
      <c r="C179" s="9">
        <v>42.75</v>
      </c>
      <c r="D179" s="9">
        <v>0</v>
      </c>
    </row>
    <row r="180" spans="2:4" x14ac:dyDescent="0.5">
      <c r="B180" s="9">
        <v>172</v>
      </c>
      <c r="C180" s="9">
        <v>43</v>
      </c>
      <c r="D180" s="9">
        <v>0</v>
      </c>
    </row>
    <row r="181" spans="2:4" x14ac:dyDescent="0.5">
      <c r="B181" s="9">
        <v>173</v>
      </c>
      <c r="C181" s="9">
        <v>43.25</v>
      </c>
      <c r="D181" s="9">
        <v>0</v>
      </c>
    </row>
    <row r="182" spans="2:4" x14ac:dyDescent="0.5">
      <c r="B182" s="9">
        <v>174</v>
      </c>
      <c r="C182" s="9">
        <v>43.5</v>
      </c>
      <c r="D182" s="9">
        <v>0</v>
      </c>
    </row>
    <row r="183" spans="2:4" x14ac:dyDescent="0.5">
      <c r="B183" s="9">
        <v>175</v>
      </c>
      <c r="C183" s="9">
        <v>43.75</v>
      </c>
      <c r="D183" s="9">
        <v>0</v>
      </c>
    </row>
    <row r="184" spans="2:4" x14ac:dyDescent="0.5">
      <c r="B184" s="9">
        <v>176</v>
      </c>
      <c r="C184" s="9">
        <v>44</v>
      </c>
      <c r="D184" s="9">
        <v>0</v>
      </c>
    </row>
    <row r="185" spans="2:4" x14ac:dyDescent="0.5">
      <c r="B185" s="9">
        <v>177</v>
      </c>
      <c r="C185" s="9">
        <v>44.25</v>
      </c>
      <c r="D185" s="9">
        <v>0</v>
      </c>
    </row>
    <row r="186" spans="2:4" x14ac:dyDescent="0.5">
      <c r="B186" s="9">
        <v>178</v>
      </c>
      <c r="C186" s="9">
        <v>44.5</v>
      </c>
      <c r="D186" s="9">
        <v>0</v>
      </c>
    </row>
    <row r="187" spans="2:4" x14ac:dyDescent="0.5">
      <c r="B187" s="9">
        <v>179</v>
      </c>
      <c r="C187" s="9">
        <v>44.75</v>
      </c>
      <c r="D187" s="9">
        <v>0</v>
      </c>
    </row>
    <row r="188" spans="2:4" x14ac:dyDescent="0.5">
      <c r="B188" s="9">
        <v>180</v>
      </c>
      <c r="C188" s="9">
        <v>45</v>
      </c>
      <c r="D188" s="9">
        <v>0</v>
      </c>
    </row>
    <row r="189" spans="2:4" x14ac:dyDescent="0.5">
      <c r="B189" s="9">
        <v>181</v>
      </c>
      <c r="C189" s="9">
        <v>45.25</v>
      </c>
      <c r="D189" s="9">
        <v>0</v>
      </c>
    </row>
    <row r="190" spans="2:4" x14ac:dyDescent="0.5">
      <c r="B190" s="9">
        <v>182</v>
      </c>
      <c r="C190" s="9">
        <v>45.5</v>
      </c>
      <c r="D190" s="9">
        <v>0</v>
      </c>
    </row>
    <row r="191" spans="2:4" x14ac:dyDescent="0.5">
      <c r="B191" s="9">
        <v>183</v>
      </c>
      <c r="C191" s="9">
        <v>45.75</v>
      </c>
      <c r="D191" s="9">
        <v>0</v>
      </c>
    </row>
    <row r="192" spans="2:4" x14ac:dyDescent="0.5">
      <c r="B192" s="9">
        <v>184</v>
      </c>
      <c r="C192" s="9">
        <v>46</v>
      </c>
      <c r="D192" s="9">
        <v>0</v>
      </c>
    </row>
    <row r="193" spans="2:4" x14ac:dyDescent="0.5">
      <c r="B193" s="9">
        <v>185</v>
      </c>
      <c r="C193" s="9">
        <v>46.25</v>
      </c>
      <c r="D193" s="9">
        <v>0</v>
      </c>
    </row>
    <row r="194" spans="2:4" x14ac:dyDescent="0.5">
      <c r="B194" s="9">
        <v>186</v>
      </c>
      <c r="C194" s="9">
        <v>46.5</v>
      </c>
      <c r="D194" s="9">
        <v>0</v>
      </c>
    </row>
    <row r="195" spans="2:4" x14ac:dyDescent="0.5">
      <c r="B195" s="9">
        <v>187</v>
      </c>
      <c r="C195" s="9">
        <v>46.75</v>
      </c>
      <c r="D195" s="9">
        <v>0</v>
      </c>
    </row>
    <row r="196" spans="2:4" x14ac:dyDescent="0.5">
      <c r="B196" s="9">
        <v>188</v>
      </c>
      <c r="C196" s="9">
        <v>47</v>
      </c>
      <c r="D196" s="9">
        <v>0</v>
      </c>
    </row>
    <row r="197" spans="2:4" x14ac:dyDescent="0.5">
      <c r="B197" s="9">
        <v>189</v>
      </c>
      <c r="C197" s="9">
        <v>47.25</v>
      </c>
      <c r="D197" s="9">
        <v>0</v>
      </c>
    </row>
    <row r="198" spans="2:4" x14ac:dyDescent="0.5">
      <c r="B198" s="9">
        <v>190</v>
      </c>
      <c r="C198" s="9">
        <v>47.5</v>
      </c>
      <c r="D198" s="9">
        <v>0</v>
      </c>
    </row>
    <row r="199" spans="2:4" x14ac:dyDescent="0.5">
      <c r="B199" s="9">
        <v>191</v>
      </c>
      <c r="C199" s="9">
        <v>47.75</v>
      </c>
      <c r="D199" s="9">
        <v>0</v>
      </c>
    </row>
    <row r="200" spans="2:4" x14ac:dyDescent="0.5">
      <c r="B200" s="9">
        <v>192</v>
      </c>
      <c r="C200" s="9">
        <v>48</v>
      </c>
      <c r="D200" s="9">
        <v>0</v>
      </c>
    </row>
    <row r="201" spans="2:4" x14ac:dyDescent="0.5">
      <c r="B201" s="9">
        <v>193</v>
      </c>
      <c r="C201" s="9">
        <v>48.25</v>
      </c>
      <c r="D201" s="9">
        <v>0</v>
      </c>
    </row>
    <row r="202" spans="2:4" x14ac:dyDescent="0.5">
      <c r="B202" s="9">
        <v>194</v>
      </c>
      <c r="C202" s="9">
        <v>48.5</v>
      </c>
      <c r="D202" s="9">
        <v>0</v>
      </c>
    </row>
    <row r="203" spans="2:4" x14ac:dyDescent="0.5">
      <c r="B203" s="9">
        <v>195</v>
      </c>
      <c r="C203" s="9">
        <v>48.75</v>
      </c>
      <c r="D203" s="9">
        <v>0</v>
      </c>
    </row>
    <row r="204" spans="2:4" x14ac:dyDescent="0.5">
      <c r="B204" s="9">
        <v>196</v>
      </c>
      <c r="C204" s="9">
        <v>49</v>
      </c>
      <c r="D204" s="9">
        <v>0</v>
      </c>
    </row>
    <row r="205" spans="2:4" x14ac:dyDescent="0.5">
      <c r="B205" s="9">
        <v>197</v>
      </c>
      <c r="C205" s="9">
        <v>49.25</v>
      </c>
      <c r="D205" s="9">
        <v>0</v>
      </c>
    </row>
    <row r="206" spans="2:4" x14ac:dyDescent="0.5">
      <c r="B206" s="9">
        <v>198</v>
      </c>
      <c r="C206" s="9">
        <v>49.5</v>
      </c>
      <c r="D206" s="9">
        <v>0</v>
      </c>
    </row>
    <row r="207" spans="2:4" x14ac:dyDescent="0.5">
      <c r="B207" s="9">
        <v>199</v>
      </c>
      <c r="C207" s="9">
        <v>49.75</v>
      </c>
      <c r="D207" s="9">
        <v>0</v>
      </c>
    </row>
    <row r="208" spans="2:4" x14ac:dyDescent="0.5">
      <c r="B208" s="9">
        <v>200</v>
      </c>
      <c r="C208" s="9">
        <v>50</v>
      </c>
      <c r="D208" s="9">
        <v>0</v>
      </c>
    </row>
    <row r="209" spans="2:4" x14ac:dyDescent="0.5">
      <c r="B209" s="9">
        <v>201</v>
      </c>
      <c r="C209" s="9">
        <v>50.25</v>
      </c>
      <c r="D209" s="9">
        <v>0</v>
      </c>
    </row>
    <row r="210" spans="2:4" x14ac:dyDescent="0.5">
      <c r="B210" s="9">
        <v>202</v>
      </c>
      <c r="C210" s="9">
        <v>50.5</v>
      </c>
      <c r="D210" s="9">
        <v>0</v>
      </c>
    </row>
    <row r="211" spans="2:4" x14ac:dyDescent="0.5">
      <c r="B211" s="9">
        <v>203</v>
      </c>
      <c r="C211" s="9">
        <v>50.75</v>
      </c>
      <c r="D211" s="9">
        <v>0</v>
      </c>
    </row>
    <row r="212" spans="2:4" x14ac:dyDescent="0.5">
      <c r="B212" s="9">
        <v>204</v>
      </c>
      <c r="C212" s="9">
        <v>51</v>
      </c>
      <c r="D212" s="9">
        <v>0</v>
      </c>
    </row>
    <row r="213" spans="2:4" x14ac:dyDescent="0.5">
      <c r="B213" s="9">
        <v>205</v>
      </c>
      <c r="C213" s="9">
        <v>51.25</v>
      </c>
      <c r="D213" s="9">
        <v>0</v>
      </c>
    </row>
    <row r="214" spans="2:4" x14ac:dyDescent="0.5">
      <c r="B214" s="9">
        <v>206</v>
      </c>
      <c r="C214" s="9">
        <v>51.5</v>
      </c>
      <c r="D214" s="9">
        <v>0</v>
      </c>
    </row>
    <row r="215" spans="2:4" x14ac:dyDescent="0.5">
      <c r="B215" s="9">
        <v>207</v>
      </c>
      <c r="C215" s="9">
        <v>51.75</v>
      </c>
      <c r="D215" s="9">
        <v>0</v>
      </c>
    </row>
    <row r="216" spans="2:4" x14ac:dyDescent="0.5">
      <c r="B216" s="9">
        <v>208</v>
      </c>
      <c r="C216" s="9">
        <v>52</v>
      </c>
      <c r="D216" s="9">
        <v>0</v>
      </c>
    </row>
    <row r="217" spans="2:4" x14ac:dyDescent="0.5">
      <c r="B217" s="9">
        <v>209</v>
      </c>
      <c r="C217" s="9">
        <v>52.25</v>
      </c>
      <c r="D217" s="9">
        <v>0</v>
      </c>
    </row>
    <row r="218" spans="2:4" x14ac:dyDescent="0.5">
      <c r="B218" s="9">
        <v>210</v>
      </c>
      <c r="C218" s="9">
        <v>52.5</v>
      </c>
      <c r="D218" s="9">
        <v>0</v>
      </c>
    </row>
    <row r="219" spans="2:4" x14ac:dyDescent="0.5">
      <c r="B219" s="9">
        <v>211</v>
      </c>
      <c r="C219" s="9">
        <v>52.75</v>
      </c>
      <c r="D219" s="9">
        <v>0</v>
      </c>
    </row>
    <row r="220" spans="2:4" x14ac:dyDescent="0.5">
      <c r="B220" s="9">
        <v>212</v>
      </c>
      <c r="C220" s="9">
        <v>53</v>
      </c>
      <c r="D220" s="9">
        <v>0</v>
      </c>
    </row>
    <row r="221" spans="2:4" x14ac:dyDescent="0.5">
      <c r="B221" s="9">
        <v>213</v>
      </c>
      <c r="C221" s="9">
        <v>53.25</v>
      </c>
      <c r="D221" s="9">
        <v>0</v>
      </c>
    </row>
    <row r="222" spans="2:4" x14ac:dyDescent="0.5">
      <c r="B222" s="9">
        <v>214</v>
      </c>
      <c r="C222" s="9">
        <v>53.5</v>
      </c>
      <c r="D222" s="9">
        <v>0</v>
      </c>
    </row>
    <row r="223" spans="2:4" x14ac:dyDescent="0.5">
      <c r="B223" s="9">
        <v>215</v>
      </c>
      <c r="C223" s="9">
        <v>53.75</v>
      </c>
      <c r="D223" s="9">
        <v>0</v>
      </c>
    </row>
    <row r="224" spans="2:4" x14ac:dyDescent="0.5">
      <c r="B224" s="9">
        <v>216</v>
      </c>
      <c r="C224" s="9">
        <v>54</v>
      </c>
      <c r="D224" s="9">
        <v>0</v>
      </c>
    </row>
    <row r="225" spans="2:4" x14ac:dyDescent="0.5">
      <c r="B225" s="9">
        <v>217</v>
      </c>
      <c r="C225" s="9">
        <v>54.25</v>
      </c>
      <c r="D225" s="9">
        <v>0</v>
      </c>
    </row>
    <row r="226" spans="2:4" x14ac:dyDescent="0.5">
      <c r="B226" s="9">
        <v>218</v>
      </c>
      <c r="C226" s="9">
        <v>54.5</v>
      </c>
      <c r="D226" s="9">
        <v>0</v>
      </c>
    </row>
    <row r="227" spans="2:4" x14ac:dyDescent="0.5">
      <c r="B227" s="9">
        <v>219</v>
      </c>
      <c r="C227" s="9">
        <v>54.75</v>
      </c>
      <c r="D227" s="9">
        <v>0</v>
      </c>
    </row>
    <row r="228" spans="2:4" x14ac:dyDescent="0.5">
      <c r="B228" s="9">
        <v>220</v>
      </c>
      <c r="C228" s="9">
        <v>55</v>
      </c>
      <c r="D22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21208110_21209770 </vt:lpstr>
      <vt:lpstr>HECRAS_Prototype1D_v0</vt:lpstr>
      <vt:lpstr>HECRAS_Prototype2D_v0</vt:lpstr>
      <vt:lpstr>Metadata</vt:lpstr>
      <vt:lpstr>HECRAS_River_v0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2026-07-06T18:45:45Z</dcterms:created>
  <dcterms:modified xsi:type="dcterms:W3CDTF">2026-07-08T21:40:27Z</dcterms:modified>
</cp:coreProperties>
</file>