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REM\table\"/>
    </mc:Choice>
  </mc:AlternateContent>
  <xr:revisionPtr revIDLastSave="0" documentId="13_ncr:1_{9310AD66-E318-4FFC-81EC-7B9427EF2A84}" xr6:coauthVersionLast="47" xr6:coauthVersionMax="47" xr10:uidLastSave="{00000000-0000-0000-0000-000000000000}"/>
  <bookViews>
    <workbookView xWindow="-93" yWindow="-93" windowWidth="20666" windowHeight="12266" xr2:uid="{D5B24722-2EFA-4C84-86FE-1D62E8B2A16C}"/>
  </bookViews>
  <sheets>
    <sheet name="W2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4" i="1"/>
  <c r="E24" i="1"/>
  <c r="C24" i="1"/>
  <c r="D24" i="1" l="1"/>
</calcChain>
</file>

<file path=xl/sharedStrings.xml><?xml version="1.0" encoding="utf-8"?>
<sst xmlns="http://schemas.openxmlformats.org/spreadsheetml/2006/main" count="98" uniqueCount="23">
  <si>
    <t>Date</t>
  </si>
  <si>
    <t>name</t>
  </si>
  <si>
    <t>Decade</t>
  </si>
  <si>
    <t>Year</t>
  </si>
  <si>
    <t>count</t>
  </si>
  <si>
    <t>unique</t>
  </si>
  <si>
    <t>min</t>
  </si>
  <si>
    <t>max</t>
  </si>
  <si>
    <t>range</t>
  </si>
  <si>
    <t>sum</t>
  </si>
  <si>
    <t>mean</t>
  </si>
  <si>
    <t>median</t>
  </si>
  <si>
    <t>stddev</t>
  </si>
  <si>
    <t>minority</t>
  </si>
  <si>
    <t>majority</t>
  </si>
  <si>
    <t>q1</t>
  </si>
  <si>
    <t>q3</t>
  </si>
  <si>
    <t>iqr</t>
  </si>
  <si>
    <t>W2</t>
  </si>
  <si>
    <t>PMax24hr</t>
  </si>
  <si>
    <t>Ptotal</t>
  </si>
  <si>
    <t>factor escala</t>
  </si>
  <si>
    <t>PMax24hrFe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</si>
</sst>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'W2'!$C$3</c:f>
              <c:strCache>
                <c:ptCount val="1"/>
                <c:pt idx="0">
                  <c:v>PMax24hr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'W2'!$B$4:$B$23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2025</c:v>
                </c:pt>
              </c:numCache>
            </c:numRef>
          </c:xVal>
          <c:yVal>
            <c:numRef>
              <c:f>'W2'!$D$4:$D$23</c:f>
              <c:numCache>
                <c:formatCode>General</c:formatCode>
                <c:ptCount val="20"/>
                <c:pt idx="0">
                  <c:v>6.796305425942192</c:v>
                </c:pt>
                <c:pt idx="1">
                  <c:v>5.6711438848371474</c:v>
                </c:pt>
                <c:pt idx="2">
                  <c:v>3.9730978960632344</c:v>
                </c:pt>
                <c:pt idx="3">
                  <c:v>6.0008615525602371</c:v>
                </c:pt>
                <c:pt idx="4">
                  <c:v>3.1982613769139725</c:v>
                </c:pt>
                <c:pt idx="5">
                  <c:v>6.0668050861048552</c:v>
                </c:pt>
                <c:pt idx="6">
                  <c:v>4.8303638321432683</c:v>
                </c:pt>
                <c:pt idx="7">
                  <c:v>8.2594275764634038</c:v>
                </c:pt>
                <c:pt idx="8">
                  <c:v>5.6381721180648388</c:v>
                </c:pt>
                <c:pt idx="9">
                  <c:v>4.7479344152124954</c:v>
                </c:pt>
                <c:pt idx="10">
                  <c:v>6.8746133720264266</c:v>
                </c:pt>
                <c:pt idx="11">
                  <c:v>5.7700591851540741</c:v>
                </c:pt>
                <c:pt idx="12">
                  <c:v>5.8689744854710018</c:v>
                </c:pt>
                <c:pt idx="13">
                  <c:v>4.006069662835543</c:v>
                </c:pt>
                <c:pt idx="14">
                  <c:v>4.9127932490740402</c:v>
                </c:pt>
                <c:pt idx="15">
                  <c:v>5.8030309519263836</c:v>
                </c:pt>
                <c:pt idx="16">
                  <c:v>5.3743979838863671</c:v>
                </c:pt>
                <c:pt idx="17">
                  <c:v>6.6273251212341089</c:v>
                </c:pt>
                <c:pt idx="18">
                  <c:v>4.006069662835543</c:v>
                </c:pt>
                <c:pt idx="19">
                  <c:v>3.5114931612509084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95-4CB2-8275-7AE186646E12}"/>
            </c:ext>
          </c:extLst>
        </c:ser>
        <c:ser>
          <c:idx val="1"/>
          <c:order val="1"/>
          <c:tx>
            <c:strRef>
              <c:f>'W2'!$E$3</c:f>
              <c:strCache>
                <c:ptCount val="1"/>
                <c:pt idx="0">
                  <c:v>Ptotal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'W2'!$B$4:$B$23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2025</c:v>
                </c:pt>
              </c:numCache>
            </c:numRef>
          </c:xVal>
          <c:yVal>
            <c:numRef>
              <c:f>'W2'!$E$4:$E$23</c:f>
              <c:numCache>
                <c:formatCode>General</c:formatCode>
                <c:ptCount val="20"/>
                <c:pt idx="0">
                  <c:v>4.8565758042968294</c:v>
                </c:pt>
                <c:pt idx="1">
                  <c:v>5.9017371968365699</c:v>
                </c:pt>
                <c:pt idx="2">
                  <c:v>5.3940187176016501</c:v>
                </c:pt>
                <c:pt idx="3">
                  <c:v>6.4699759111842798</c:v>
                </c:pt>
                <c:pt idx="4">
                  <c:v>4.9741720366808604</c:v>
                </c:pt>
                <c:pt idx="5">
                  <c:v>6.5912927125787206</c:v>
                </c:pt>
                <c:pt idx="6">
                  <c:v>7.6571764851298996</c:v>
                </c:pt>
                <c:pt idx="7">
                  <c:v>5.1667637760853999</c:v>
                </c:pt>
                <c:pt idx="8">
                  <c:v>5.1284005749038899</c:v>
                </c:pt>
                <c:pt idx="9">
                  <c:v>4.6454877075221201</c:v>
                </c:pt>
                <c:pt idx="10">
                  <c:v>3.52169454628079</c:v>
                </c:pt>
                <c:pt idx="11">
                  <c:v>5.9423375965302601</c:v>
                </c:pt>
                <c:pt idx="12">
                  <c:v>6.6232667692626102</c:v>
                </c:pt>
                <c:pt idx="13">
                  <c:v>5.6838957987363194</c:v>
                </c:pt>
                <c:pt idx="14">
                  <c:v>6.3622953117980003</c:v>
                </c:pt>
                <c:pt idx="15">
                  <c:v>4.9556004038700996</c:v>
                </c:pt>
                <c:pt idx="16">
                  <c:v>5.4561329889110901</c:v>
                </c:pt>
                <c:pt idx="17">
                  <c:v>4.5568513386468403</c:v>
                </c:pt>
                <c:pt idx="18">
                  <c:v>1.9339228488711302</c:v>
                </c:pt>
                <c:pt idx="19">
                  <c:v>6.1155590681462098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95-4CB2-8275-7AE186646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556576"/>
        <c:axId val="692748496"/>
      </c:scatterChart>
      <c:valAx>
        <c:axId val="69955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748496"/>
        <c:crosses val="autoZero"/>
        <c:crossBetween val="midCat"/>
      </c:valAx>
      <c:valAx>
        <c:axId val="6927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56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281516</xdr:colOff>
      <xdr:row>1</xdr:row>
      <xdr:rowOff>143933</xdr:rowOff>
    </xdr:from>
    <xdr:to>
      <xdr:col>18</xdr:col>
      <xdr:colOff>601133</xdr:colOff>
      <xdr:row>25</xdr:row>
      <xdr:rowOff>173567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5393D-0210-DA24-2C1D-ABC2FF538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ADB2-C5FE-40F5-B4BF-A76FE06B8C73}">
  <dimension ref="A2:E24"/>
  <sheetViews>
    <sheetView tabSelected="1" zoomScale="115" zoomScaleNormal="115" workbookViewId="0">
      <selection activeCell="D2" sqref="D2"/>
    </sheetView>
  </sheetViews>
  <sheetFormatPr defaultRowHeight="14.35" x14ac:dyDescent="0.5"/>
  <cols>
    <col min="4" max="4" width="13.05859375" customWidth="1"/>
  </cols>
  <sheetData>
    <row r="2" spans="1:5" x14ac:dyDescent="0.5">
      <c r="C2" s="1" t="s">
        <v>21</v>
      </c>
      <c r="D2">
        <v>0.16485883386154498</v>
      </c>
    </row>
    <row r="3" spans="1:5" x14ac:dyDescent="0.5">
      <c r="B3" t="s">
        <v>0</v>
      </c>
      <c r="C3" t="s">
        <v>19</v>
      </c>
      <c r="D3" t="s">
        <v>22</v>
      </c>
      <c r="E3" t="s">
        <v>20</v>
      </c>
    </row>
    <row r="4" spans="1:5" x14ac:dyDescent="0.5">
      <c r="A4">
        <v>2005</v>
      </c>
      <c r="B4">
        <v>2005</v>
      </c>
      <c r="C4">
        <v>41.225000000000001</v>
      </c>
      <c r="D4">
        <f>C4*$D$2</f>
        <v>6.796305425942192</v>
      </c>
      <c r="E4">
        <v>4.8565758042968294</v>
      </c>
    </row>
    <row r="5" spans="1:5" x14ac:dyDescent="0.5">
      <c r="A5">
        <v>2006</v>
      </c>
      <c r="B5">
        <v>2006</v>
      </c>
      <c r="C5">
        <v>34.4</v>
      </c>
      <c r="D5">
        <f t="shared" ref="D5:D23" si="0">C5*$D$2</f>
        <v>5.6711438848371474</v>
      </c>
      <c r="E5">
        <v>5.9017371968365699</v>
      </c>
    </row>
    <row r="6" spans="1:5" x14ac:dyDescent="0.5">
      <c r="A6">
        <v>2007</v>
      </c>
      <c r="B6">
        <v>2007</v>
      </c>
      <c r="C6">
        <v>24.1</v>
      </c>
      <c r="D6">
        <f t="shared" si="0"/>
        <v>3.9730978960632344</v>
      </c>
      <c r="E6">
        <v>5.3940187176016501</v>
      </c>
    </row>
    <row r="7" spans="1:5" x14ac:dyDescent="0.5">
      <c r="A7">
        <v>2008</v>
      </c>
      <c r="B7">
        <v>2008</v>
      </c>
      <c r="C7">
        <v>36.4</v>
      </c>
      <c r="D7">
        <f t="shared" si="0"/>
        <v>6.0008615525602371</v>
      </c>
      <c r="E7">
        <v>6.4699759111842798</v>
      </c>
    </row>
    <row r="8" spans="1:5" x14ac:dyDescent="0.5">
      <c r="A8">
        <v>2009</v>
      </c>
      <c r="B8">
        <v>2009</v>
      </c>
      <c r="C8">
        <v>19.399999999999999</v>
      </c>
      <c r="D8">
        <f t="shared" si="0"/>
        <v>3.1982613769139725</v>
      </c>
      <c r="E8">
        <v>4.9741720366808604</v>
      </c>
    </row>
    <row r="9" spans="1:5" x14ac:dyDescent="0.5">
      <c r="A9">
        <v>2010</v>
      </c>
      <c r="B9">
        <v>2010</v>
      </c>
      <c r="C9">
        <v>36.799999999999997</v>
      </c>
      <c r="D9">
        <f t="shared" si="0"/>
        <v>6.0668050861048552</v>
      </c>
      <c r="E9">
        <v>6.5912927125787206</v>
      </c>
    </row>
    <row r="10" spans="1:5" x14ac:dyDescent="0.5">
      <c r="A10">
        <v>2011</v>
      </c>
      <c r="B10">
        <v>2011</v>
      </c>
      <c r="C10">
        <v>29.3</v>
      </c>
      <c r="D10">
        <f t="shared" si="0"/>
        <v>4.8303638321432683</v>
      </c>
      <c r="E10">
        <v>7.6571764851298996</v>
      </c>
    </row>
    <row r="11" spans="1:5" x14ac:dyDescent="0.5">
      <c r="A11">
        <v>2012</v>
      </c>
      <c r="B11">
        <v>2012</v>
      </c>
      <c r="C11">
        <v>50.1</v>
      </c>
      <c r="D11">
        <f t="shared" si="0"/>
        <v>8.2594275764634038</v>
      </c>
      <c r="E11">
        <v>5.1667637760853999</v>
      </c>
    </row>
    <row r="12" spans="1:5" x14ac:dyDescent="0.5">
      <c r="A12">
        <v>2013</v>
      </c>
      <c r="B12">
        <v>2013</v>
      </c>
      <c r="C12">
        <v>34.200000000000003</v>
      </c>
      <c r="D12">
        <f t="shared" si="0"/>
        <v>5.6381721180648388</v>
      </c>
      <c r="E12">
        <v>5.1284005749038899</v>
      </c>
    </row>
    <row r="13" spans="1:5" x14ac:dyDescent="0.5">
      <c r="A13">
        <v>2014</v>
      </c>
      <c r="B13">
        <v>2014</v>
      </c>
      <c r="C13">
        <v>28.8</v>
      </c>
      <c r="D13">
        <f t="shared" si="0"/>
        <v>4.7479344152124954</v>
      </c>
      <c r="E13">
        <v>4.6454877075221201</v>
      </c>
    </row>
    <row r="14" spans="1:5" x14ac:dyDescent="0.5">
      <c r="A14">
        <v>2015</v>
      </c>
      <c r="B14">
        <v>2015</v>
      </c>
      <c r="C14">
        <v>41.7</v>
      </c>
      <c r="D14">
        <f t="shared" si="0"/>
        <v>6.8746133720264266</v>
      </c>
      <c r="E14">
        <v>3.52169454628079</v>
      </c>
    </row>
    <row r="15" spans="1:5" x14ac:dyDescent="0.5">
      <c r="A15">
        <v>2016</v>
      </c>
      <c r="B15">
        <v>2016</v>
      </c>
      <c r="C15">
        <v>35</v>
      </c>
      <c r="D15">
        <f t="shared" si="0"/>
        <v>5.7700591851540741</v>
      </c>
      <c r="E15">
        <v>5.9423375965302601</v>
      </c>
    </row>
    <row r="16" spans="1:5" x14ac:dyDescent="0.5">
      <c r="A16">
        <v>2017</v>
      </c>
      <c r="B16">
        <v>2017</v>
      </c>
      <c r="C16">
        <v>35.6</v>
      </c>
      <c r="D16">
        <f t="shared" si="0"/>
        <v>5.8689744854710018</v>
      </c>
      <c r="E16">
        <v>6.6232667692626102</v>
      </c>
    </row>
    <row r="17" spans="1:5" x14ac:dyDescent="0.5">
      <c r="A17">
        <v>2018</v>
      </c>
      <c r="B17">
        <v>2018</v>
      </c>
      <c r="C17">
        <v>24.3</v>
      </c>
      <c r="D17">
        <f t="shared" si="0"/>
        <v>4.006069662835543</v>
      </c>
      <c r="E17">
        <v>5.6838957987363194</v>
      </c>
    </row>
    <row r="18" spans="1:5" x14ac:dyDescent="0.5">
      <c r="A18">
        <v>2019</v>
      </c>
      <c r="B18">
        <v>2019</v>
      </c>
      <c r="C18">
        <v>29.8</v>
      </c>
      <c r="D18">
        <f t="shared" si="0"/>
        <v>4.9127932490740402</v>
      </c>
      <c r="E18">
        <v>6.3622953117980003</v>
      </c>
    </row>
    <row r="19" spans="1:5" x14ac:dyDescent="0.5">
      <c r="A19">
        <v>2020</v>
      </c>
      <c r="B19">
        <v>2020</v>
      </c>
      <c r="C19">
        <v>35.200000000000003</v>
      </c>
      <c r="D19">
        <f t="shared" si="0"/>
        <v>5.8030309519263836</v>
      </c>
      <c r="E19">
        <v>4.9556004038700996</v>
      </c>
    </row>
    <row r="20" spans="1:5" x14ac:dyDescent="0.5">
      <c r="A20">
        <v>2021</v>
      </c>
      <c r="B20">
        <v>2021</v>
      </c>
      <c r="C20">
        <v>32.6</v>
      </c>
      <c r="D20">
        <f t="shared" si="0"/>
        <v>5.3743979838863671</v>
      </c>
      <c r="E20">
        <v>5.4561329889110901</v>
      </c>
    </row>
    <row r="21" spans="1:5" x14ac:dyDescent="0.5">
      <c r="A21">
        <v>2022</v>
      </c>
      <c r="B21">
        <v>2022</v>
      </c>
      <c r="C21">
        <v>40.200000000000003</v>
      </c>
      <c r="D21">
        <f t="shared" si="0"/>
        <v>6.6273251212341089</v>
      </c>
      <c r="E21">
        <v>4.5568513386468403</v>
      </c>
    </row>
    <row r="22" spans="1:5" x14ac:dyDescent="0.5">
      <c r="A22">
        <v>2023</v>
      </c>
      <c r="B22">
        <v>2023</v>
      </c>
      <c r="C22">
        <v>24.3</v>
      </c>
      <c r="D22">
        <f t="shared" si="0"/>
        <v>4.006069662835543</v>
      </c>
      <c r="E22">
        <v>1.9339228488711302</v>
      </c>
    </row>
    <row r="23" spans="1:5" x14ac:dyDescent="0.5">
      <c r="A23">
        <v>2025</v>
      </c>
      <c r="B23">
        <v>2025</v>
      </c>
      <c r="C23">
        <v>21.3</v>
      </c>
      <c r="D23">
        <f t="shared" si="0"/>
        <v>3.5114931612509084</v>
      </c>
      <c r="E23">
        <v>6.1155590681462098</v>
      </c>
    </row>
    <row r="24" spans="1:5" x14ac:dyDescent="0.5">
      <c r="C24">
        <f>SUM(C4:C23)</f>
        <v>654.72500000000002</v>
      </c>
      <c r="D24">
        <f>SUM(D4:D23)</f>
        <v>107.93720000000005</v>
      </c>
      <c r="E24">
        <f t="shared" ref="E24" si="1">SUM(E4:E23)</f>
        <v>107.93715759387356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289C-CF44-4BBA-B32D-634ACD0D720A}">
  <dimension ref="A1:Q77"/>
  <sheetViews>
    <sheetView workbookViewId="0">
      <pane ySplit="1" topLeftCell="A56" activePane="bottomLeft" state="frozen"/>
      <selection pane="bottomLeft" activeCell="J77" sqref="J57:J77"/>
    </sheetView>
  </sheetViews>
  <sheetFormatPr defaultRowHeight="14.35" x14ac:dyDescent="0.5"/>
  <sheetData>
    <row r="1" spans="1:17" x14ac:dyDescent="0.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5">
      <c r="A2" t="s">
        <v>18</v>
      </c>
      <c r="B2">
        <v>1950</v>
      </c>
      <c r="C2">
        <v>1950</v>
      </c>
      <c r="D2">
        <v>12</v>
      </c>
      <c r="E2">
        <v>12</v>
      </c>
      <c r="F2">
        <v>2.3496255744248E-3</v>
      </c>
      <c r="G2">
        <v>1.54737209280332E-2</v>
      </c>
      <c r="H2">
        <v>1.31240953536084E-2</v>
      </c>
      <c r="I2">
        <v>9.2682479958359806E-2</v>
      </c>
      <c r="J2">
        <v>7.7235399965299798E-3</v>
      </c>
      <c r="K2">
        <v>7.2355852462350498E-3</v>
      </c>
      <c r="L2">
        <v>3.5820837929044801E-3</v>
      </c>
      <c r="M2">
        <v>2.3496255744248E-3</v>
      </c>
      <c r="N2">
        <v>2.3496255744248E-3</v>
      </c>
      <c r="O2">
        <v>4.81363777847335E-3</v>
      </c>
      <c r="P2">
        <v>9.9370044966538493E-3</v>
      </c>
      <c r="Q2">
        <v>5.1233667181805002E-3</v>
      </c>
    </row>
    <row r="3" spans="1:17" x14ac:dyDescent="0.5">
      <c r="A3" t="s">
        <v>18</v>
      </c>
      <c r="B3">
        <v>1950</v>
      </c>
      <c r="C3">
        <v>1951</v>
      </c>
      <c r="D3">
        <v>12</v>
      </c>
      <c r="E3">
        <v>12</v>
      </c>
      <c r="F3">
        <v>2.1129120529318002E-3</v>
      </c>
      <c r="G3">
        <v>9.7736474126576996E-3</v>
      </c>
      <c r="H3">
        <v>7.6607353597259002E-3</v>
      </c>
      <c r="I3">
        <v>7.2603791680496702E-2</v>
      </c>
      <c r="J3">
        <v>6.0503159733747303E-3</v>
      </c>
      <c r="K3">
        <v>6.5767408038178501E-3</v>
      </c>
      <c r="L3">
        <v>2.6102848156951699E-3</v>
      </c>
      <c r="M3">
        <v>2.1129120529318002E-3</v>
      </c>
      <c r="N3">
        <v>2.1129120529318002E-3</v>
      </c>
      <c r="O3">
        <v>3.0682099750265002E-3</v>
      </c>
      <c r="P3">
        <v>8.1042441694686006E-3</v>
      </c>
      <c r="Q3">
        <v>5.0360341944420996E-3</v>
      </c>
    </row>
    <row r="4" spans="1:17" x14ac:dyDescent="0.5">
      <c r="A4" t="s">
        <v>18</v>
      </c>
      <c r="B4">
        <v>1950</v>
      </c>
      <c r="C4">
        <v>1952</v>
      </c>
      <c r="D4">
        <v>12</v>
      </c>
      <c r="E4">
        <v>12</v>
      </c>
      <c r="F4">
        <v>1.2997606730398999E-3</v>
      </c>
      <c r="G4">
        <v>1.5491344655553499E-2</v>
      </c>
      <c r="H4">
        <v>1.4191583982513601E-2</v>
      </c>
      <c r="I4">
        <v>7.1828347844226495E-2</v>
      </c>
      <c r="J4">
        <v>5.9856956536855398E-3</v>
      </c>
      <c r="K4">
        <v>5.1887989199409503E-3</v>
      </c>
      <c r="L4">
        <v>3.8980065482518201E-3</v>
      </c>
      <c r="M4">
        <v>1.2997606730398999E-3</v>
      </c>
      <c r="N4">
        <v>1.2997606730398999E-3</v>
      </c>
      <c r="O4">
        <v>3.25801363214845E-3</v>
      </c>
      <c r="P4">
        <v>7.1072345599531503E-3</v>
      </c>
      <c r="Q4">
        <v>3.8492209278046998E-3</v>
      </c>
    </row>
    <row r="5" spans="1:17" x14ac:dyDescent="0.5">
      <c r="A5" t="s">
        <v>18</v>
      </c>
      <c r="B5">
        <v>1950</v>
      </c>
      <c r="C5">
        <v>1953</v>
      </c>
      <c r="D5">
        <v>12</v>
      </c>
      <c r="E5">
        <v>12</v>
      </c>
      <c r="F5">
        <v>1.5308799532552E-3</v>
      </c>
      <c r="G5">
        <v>1.21598069866498E-2</v>
      </c>
      <c r="H5">
        <v>1.0628927033394599E-2</v>
      </c>
      <c r="I5">
        <v>7.1713738764325199E-2</v>
      </c>
      <c r="J5">
        <v>5.9761448970271002E-3</v>
      </c>
      <c r="K5">
        <v>6.0311674606054501E-3</v>
      </c>
      <c r="L5">
        <v>3.2842113826092702E-3</v>
      </c>
      <c r="M5">
        <v>1.5308799532552E-3</v>
      </c>
      <c r="N5">
        <v>1.5308799532552E-3</v>
      </c>
      <c r="O5">
        <v>2.8810170867169501E-3</v>
      </c>
      <c r="P5">
        <v>8.2668668280044492E-3</v>
      </c>
      <c r="Q5">
        <v>5.3858497412875E-3</v>
      </c>
    </row>
    <row r="6" spans="1:17" x14ac:dyDescent="0.5">
      <c r="A6" t="s">
        <v>18</v>
      </c>
      <c r="B6">
        <v>1950</v>
      </c>
      <c r="C6">
        <v>1954</v>
      </c>
      <c r="D6">
        <v>12</v>
      </c>
      <c r="E6">
        <v>12</v>
      </c>
      <c r="F6">
        <v>1.5627171378582E-3</v>
      </c>
      <c r="G6">
        <v>1.5278014664848599E-2</v>
      </c>
      <c r="H6">
        <v>1.3715297526990401E-2</v>
      </c>
      <c r="I6">
        <v>6.5725596932072805E-2</v>
      </c>
      <c r="J6">
        <v>5.4771330776727297E-3</v>
      </c>
      <c r="K6">
        <v>5.0372382005054997E-3</v>
      </c>
      <c r="L6">
        <v>3.6905033614314498E-3</v>
      </c>
      <c r="M6">
        <v>1.5627171378582E-3</v>
      </c>
      <c r="N6">
        <v>1.5627171378582E-3</v>
      </c>
      <c r="O6">
        <v>2.6034513721242001E-3</v>
      </c>
      <c r="P6">
        <v>7.0026285635928004E-3</v>
      </c>
      <c r="Q6">
        <v>4.3991771914686003E-3</v>
      </c>
    </row>
    <row r="7" spans="1:17" x14ac:dyDescent="0.5">
      <c r="A7" t="s">
        <v>18</v>
      </c>
      <c r="B7">
        <v>1950</v>
      </c>
      <c r="C7">
        <v>1955</v>
      </c>
      <c r="D7">
        <v>12</v>
      </c>
      <c r="E7">
        <v>12</v>
      </c>
      <c r="F7">
        <v>2.7979598380625001E-3</v>
      </c>
      <c r="G7">
        <v>1.13361266752084E-2</v>
      </c>
      <c r="H7">
        <v>8.5381668371458993E-3</v>
      </c>
      <c r="I7">
        <v>8.4713198555012095E-2</v>
      </c>
      <c r="J7">
        <v>7.05943321291767E-3</v>
      </c>
      <c r="K7">
        <v>7.0179071432599997E-3</v>
      </c>
      <c r="L7">
        <v>2.7360052650050302E-3</v>
      </c>
      <c r="M7">
        <v>2.7979598380625001E-3</v>
      </c>
      <c r="N7">
        <v>2.7979598380625001E-3</v>
      </c>
      <c r="O7">
        <v>4.9635739220926503E-3</v>
      </c>
      <c r="P7">
        <v>9.2571491065124491E-3</v>
      </c>
      <c r="Q7">
        <v>4.2935751844197997E-3</v>
      </c>
    </row>
    <row r="8" spans="1:17" x14ac:dyDescent="0.5">
      <c r="A8" t="s">
        <v>18</v>
      </c>
      <c r="B8">
        <v>1950</v>
      </c>
      <c r="C8">
        <v>1956</v>
      </c>
      <c r="D8">
        <v>12</v>
      </c>
      <c r="E8">
        <v>12</v>
      </c>
      <c r="F8">
        <v>1.5634267086473001E-3</v>
      </c>
      <c r="G8">
        <v>8.8084824383258004E-3</v>
      </c>
      <c r="H8">
        <v>7.2450557296785002E-3</v>
      </c>
      <c r="I8">
        <v>6.5242547522453606E-2</v>
      </c>
      <c r="J8">
        <v>5.4368789602044698E-3</v>
      </c>
      <c r="K8">
        <v>5.6746259797363996E-3</v>
      </c>
      <c r="L8">
        <v>2.2667201108623699E-3</v>
      </c>
      <c r="M8">
        <v>1.5634267086473001E-3</v>
      </c>
      <c r="N8">
        <v>1.5634267086473001E-3</v>
      </c>
      <c r="O8">
        <v>3.0117970891296499E-3</v>
      </c>
      <c r="P8">
        <v>7.4468986131250503E-3</v>
      </c>
      <c r="Q8">
        <v>4.4351015239954003E-3</v>
      </c>
    </row>
    <row r="9" spans="1:17" x14ac:dyDescent="0.5">
      <c r="A9" t="s">
        <v>18</v>
      </c>
      <c r="B9">
        <v>1950</v>
      </c>
      <c r="C9">
        <v>1957</v>
      </c>
      <c r="D9">
        <v>12</v>
      </c>
      <c r="E9">
        <v>12</v>
      </c>
      <c r="F9">
        <v>7.932141112784E-4</v>
      </c>
      <c r="G9">
        <v>9.8261677970488005E-3</v>
      </c>
      <c r="H9">
        <v>9.0329536857704004E-3</v>
      </c>
      <c r="I9">
        <v>6.0689830260040302E-2</v>
      </c>
      <c r="J9">
        <v>5.0574858550033602E-3</v>
      </c>
      <c r="K9">
        <v>5.1334670279174497E-3</v>
      </c>
      <c r="L9">
        <v>2.99208085693664E-3</v>
      </c>
      <c r="M9">
        <v>7.932141112784E-4</v>
      </c>
      <c r="N9">
        <v>7.932141112784E-4</v>
      </c>
      <c r="O9">
        <v>2.1556446639199498E-3</v>
      </c>
      <c r="P9">
        <v>7.6659526675938996E-3</v>
      </c>
      <c r="Q9">
        <v>5.5103080036739503E-3</v>
      </c>
    </row>
    <row r="10" spans="1:17" x14ac:dyDescent="0.5">
      <c r="A10" t="s">
        <v>18</v>
      </c>
      <c r="B10">
        <v>1950</v>
      </c>
      <c r="C10">
        <v>1958</v>
      </c>
      <c r="D10">
        <v>12</v>
      </c>
      <c r="E10">
        <v>12</v>
      </c>
      <c r="F10">
        <v>1.2454864336177E-3</v>
      </c>
      <c r="G10">
        <v>1.2105368077755E-2</v>
      </c>
      <c r="H10">
        <v>1.0859881644137301E-2</v>
      </c>
      <c r="I10">
        <v>7.2401626229596103E-2</v>
      </c>
      <c r="J10">
        <v>6.0334688524663399E-3</v>
      </c>
      <c r="K10">
        <v>5.9825236288209502E-3</v>
      </c>
      <c r="L10">
        <v>3.3086637341471999E-3</v>
      </c>
      <c r="M10">
        <v>1.2454864336177E-3</v>
      </c>
      <c r="N10">
        <v>1.2454864336177E-3</v>
      </c>
      <c r="O10">
        <v>3.0606307554989498E-3</v>
      </c>
      <c r="P10">
        <v>8.5269451762238508E-3</v>
      </c>
      <c r="Q10">
        <v>5.4663144207249001E-3</v>
      </c>
    </row>
    <row r="11" spans="1:17" x14ac:dyDescent="0.5">
      <c r="A11" t="s">
        <v>18</v>
      </c>
      <c r="B11">
        <v>1950</v>
      </c>
      <c r="C11">
        <v>1959</v>
      </c>
      <c r="D11">
        <v>12</v>
      </c>
      <c r="E11">
        <v>12</v>
      </c>
      <c r="F11">
        <v>1.3060233710954E-3</v>
      </c>
      <c r="G11">
        <v>9.7925197333097007E-3</v>
      </c>
      <c r="H11">
        <v>8.4864963622142998E-3</v>
      </c>
      <c r="I11">
        <v>5.2961508588243902E-2</v>
      </c>
      <c r="J11">
        <v>4.4134590490203301E-3</v>
      </c>
      <c r="K11">
        <v>3.7833748695750499E-3</v>
      </c>
      <c r="L11">
        <v>2.5498425329860499E-3</v>
      </c>
      <c r="M11">
        <v>1.3060233710954E-3</v>
      </c>
      <c r="N11">
        <v>1.3060233710954E-3</v>
      </c>
      <c r="O11">
        <v>2.1209119586273499E-3</v>
      </c>
      <c r="P11">
        <v>6.4491438679396499E-3</v>
      </c>
      <c r="Q11">
        <v>4.3282319093123E-3</v>
      </c>
    </row>
    <row r="12" spans="1:17" x14ac:dyDescent="0.5">
      <c r="A12" t="s">
        <v>18</v>
      </c>
      <c r="B12">
        <v>1960</v>
      </c>
      <c r="C12">
        <v>1960</v>
      </c>
      <c r="D12">
        <v>12</v>
      </c>
      <c r="E12">
        <v>12</v>
      </c>
      <c r="F12">
        <v>1.5523685918499999E-3</v>
      </c>
      <c r="G12">
        <v>8.4946937859057998E-3</v>
      </c>
      <c r="H12">
        <v>6.9423251940558001E-3</v>
      </c>
      <c r="I12">
        <v>6.1959775940825003E-2</v>
      </c>
      <c r="J12">
        <v>5.1633146617354204E-3</v>
      </c>
      <c r="K12">
        <v>4.9108083670337498E-3</v>
      </c>
      <c r="L12">
        <v>2.2473679599435501E-3</v>
      </c>
      <c r="M12">
        <v>1.5523685918499999E-3</v>
      </c>
      <c r="N12">
        <v>1.5523685918499999E-3</v>
      </c>
      <c r="O12">
        <v>3.4058939199893999E-3</v>
      </c>
      <c r="P12">
        <v>7.1764260064810003E-3</v>
      </c>
      <c r="Q12">
        <v>3.7705320864916E-3</v>
      </c>
    </row>
    <row r="13" spans="1:17" x14ac:dyDescent="0.5">
      <c r="A13" t="s">
        <v>18</v>
      </c>
      <c r="B13">
        <v>1960</v>
      </c>
      <c r="C13">
        <v>1961</v>
      </c>
      <c r="D13">
        <v>12</v>
      </c>
      <c r="E13">
        <v>12</v>
      </c>
      <c r="F13">
        <v>9.2128695299220002E-4</v>
      </c>
      <c r="G13">
        <v>1.17883967856566E-2</v>
      </c>
      <c r="H13">
        <v>1.0867109832664401E-2</v>
      </c>
      <c r="I13">
        <v>5.0729678284065799E-2</v>
      </c>
      <c r="J13">
        <v>4.22747319033882E-3</v>
      </c>
      <c r="K13">
        <v>3.7640099568913002E-3</v>
      </c>
      <c r="L13">
        <v>3.1047263057173398E-3</v>
      </c>
      <c r="M13">
        <v>9.2128695299220002E-4</v>
      </c>
      <c r="N13">
        <v>9.2128695299220002E-4</v>
      </c>
      <c r="O13">
        <v>1.7202716359557501E-3</v>
      </c>
      <c r="P13">
        <v>5.2028987556695496E-3</v>
      </c>
      <c r="Q13">
        <v>3.4826271197137999E-3</v>
      </c>
    </row>
    <row r="14" spans="1:17" x14ac:dyDescent="0.5">
      <c r="A14" t="s">
        <v>18</v>
      </c>
      <c r="B14">
        <v>1960</v>
      </c>
      <c r="C14">
        <v>1962</v>
      </c>
      <c r="D14">
        <v>12</v>
      </c>
      <c r="E14">
        <v>12</v>
      </c>
      <c r="F14">
        <v>1.5242126149435E-3</v>
      </c>
      <c r="G14">
        <v>9.3549375111857992E-3</v>
      </c>
      <c r="H14">
        <v>7.8307248962422998E-3</v>
      </c>
      <c r="I14">
        <v>6.8653955900420102E-2</v>
      </c>
      <c r="J14">
        <v>5.7211629917016801E-3</v>
      </c>
      <c r="K14">
        <v>6.1065542977302998E-3</v>
      </c>
      <c r="L14">
        <v>2.7487967316858E-3</v>
      </c>
      <c r="M14">
        <v>1.5242126149435E-3</v>
      </c>
      <c r="N14">
        <v>1.5242126149435E-3</v>
      </c>
      <c r="O14">
        <v>2.9267930270482499E-3</v>
      </c>
      <c r="P14">
        <v>8.5013299249111999E-3</v>
      </c>
      <c r="Q14">
        <v>5.5745368978629504E-3</v>
      </c>
    </row>
    <row r="15" spans="1:17" x14ac:dyDescent="0.5">
      <c r="A15" t="s">
        <v>18</v>
      </c>
      <c r="B15">
        <v>1960</v>
      </c>
      <c r="C15">
        <v>1963</v>
      </c>
      <c r="D15">
        <v>12</v>
      </c>
      <c r="E15">
        <v>12</v>
      </c>
      <c r="F15">
        <v>1.6189703407386001E-3</v>
      </c>
      <c r="G15">
        <v>1.18685600658258E-2</v>
      </c>
      <c r="H15">
        <v>1.02495897250872E-2</v>
      </c>
      <c r="I15">
        <v>7.1619505683580595E-2</v>
      </c>
      <c r="J15">
        <v>5.9682921402983797E-3</v>
      </c>
      <c r="K15">
        <v>6.2265497787544997E-3</v>
      </c>
      <c r="L15">
        <v>3.48559407902205E-3</v>
      </c>
      <c r="M15">
        <v>1.6189703407386001E-3</v>
      </c>
      <c r="N15">
        <v>1.6189703407386001E-3</v>
      </c>
      <c r="O15">
        <v>2.48947273939845E-3</v>
      </c>
      <c r="P15">
        <v>8.82633076980705E-3</v>
      </c>
      <c r="Q15">
        <v>6.3368580304086E-3</v>
      </c>
    </row>
    <row r="16" spans="1:17" x14ac:dyDescent="0.5">
      <c r="A16" t="s">
        <v>18</v>
      </c>
      <c r="B16">
        <v>1960</v>
      </c>
      <c r="C16">
        <v>1964</v>
      </c>
      <c r="D16">
        <v>12</v>
      </c>
      <c r="E16">
        <v>12</v>
      </c>
      <c r="F16">
        <v>1.7952122725546E-3</v>
      </c>
      <c r="G16">
        <v>1.30003442366918E-2</v>
      </c>
      <c r="H16">
        <v>1.1205131964137201E-2</v>
      </c>
      <c r="I16">
        <v>6.6737477745239401E-2</v>
      </c>
      <c r="J16">
        <v>5.5614564787699501E-3</v>
      </c>
      <c r="K16">
        <v>5.2204056798169501E-3</v>
      </c>
      <c r="L16">
        <v>2.7912375834045402E-3</v>
      </c>
      <c r="M16">
        <v>1.7952122725546E-3</v>
      </c>
      <c r="N16">
        <v>1.7952122725546E-3</v>
      </c>
      <c r="O16">
        <v>3.5689744399859998E-3</v>
      </c>
      <c r="P16">
        <v>6.9430025760084E-3</v>
      </c>
      <c r="Q16">
        <v>3.3740281360224002E-3</v>
      </c>
    </row>
    <row r="17" spans="1:17" x14ac:dyDescent="0.5">
      <c r="A17" t="s">
        <v>18</v>
      </c>
      <c r="B17">
        <v>1960</v>
      </c>
      <c r="C17">
        <v>1965</v>
      </c>
      <c r="D17">
        <v>12</v>
      </c>
      <c r="E17">
        <v>12</v>
      </c>
      <c r="F17">
        <v>1.0137392285589999E-3</v>
      </c>
      <c r="G17">
        <v>9.8867779597640003E-3</v>
      </c>
      <c r="H17">
        <v>8.8730387312050008E-3</v>
      </c>
      <c r="I17">
        <v>5.2037016896064901E-2</v>
      </c>
      <c r="J17">
        <v>4.3364180746720696E-3</v>
      </c>
      <c r="K17">
        <v>3.3329267365237E-3</v>
      </c>
      <c r="L17">
        <v>3.0284304601945001E-3</v>
      </c>
      <c r="M17">
        <v>1.0137392285589999E-3</v>
      </c>
      <c r="N17">
        <v>1.0137392285589999E-3</v>
      </c>
      <c r="O17">
        <v>1.6333065577782001E-3</v>
      </c>
      <c r="P17">
        <v>6.6464658205707501E-3</v>
      </c>
      <c r="Q17">
        <v>5.0131592627925504E-3</v>
      </c>
    </row>
    <row r="18" spans="1:17" x14ac:dyDescent="0.5">
      <c r="A18" t="s">
        <v>18</v>
      </c>
      <c r="B18">
        <v>1960</v>
      </c>
      <c r="C18">
        <v>1966</v>
      </c>
      <c r="D18">
        <v>12</v>
      </c>
      <c r="E18">
        <v>12</v>
      </c>
      <c r="F18">
        <v>1.7314718182509E-3</v>
      </c>
      <c r="G18">
        <v>8.7833938499290998E-3</v>
      </c>
      <c r="H18">
        <v>7.0519220316782004E-3</v>
      </c>
      <c r="I18">
        <v>5.8153180289081702E-2</v>
      </c>
      <c r="J18">
        <v>4.8460983574234702E-3</v>
      </c>
      <c r="K18">
        <v>4.3596334289758999E-3</v>
      </c>
      <c r="L18">
        <v>2.2277504337515101E-3</v>
      </c>
      <c r="M18">
        <v>1.7314718182509E-3</v>
      </c>
      <c r="N18">
        <v>1.7314718182509E-3</v>
      </c>
      <c r="O18">
        <v>3.0919489217922E-3</v>
      </c>
      <c r="P18">
        <v>6.2023047357796998E-3</v>
      </c>
      <c r="Q18">
        <v>3.1103558139875002E-3</v>
      </c>
    </row>
    <row r="19" spans="1:17" x14ac:dyDescent="0.5">
      <c r="A19" t="s">
        <v>18</v>
      </c>
      <c r="B19">
        <v>1960</v>
      </c>
      <c r="C19">
        <v>1967</v>
      </c>
      <c r="D19">
        <v>12</v>
      </c>
      <c r="E19">
        <v>12</v>
      </c>
      <c r="F19">
        <v>1.0577227027776001E-3</v>
      </c>
      <c r="G19">
        <v>1.0228327165047299E-2</v>
      </c>
      <c r="H19">
        <v>9.1706044622697006E-3</v>
      </c>
      <c r="I19">
        <v>5.7708446421504897E-2</v>
      </c>
      <c r="J19">
        <v>4.8090372017920704E-3</v>
      </c>
      <c r="K19">
        <v>4.61494433693585E-3</v>
      </c>
      <c r="L19">
        <v>2.6870714037403099E-3</v>
      </c>
      <c r="M19">
        <v>1.0577227027776001E-3</v>
      </c>
      <c r="N19">
        <v>1.0577227027776001E-3</v>
      </c>
      <c r="O19">
        <v>2.29745870456095E-3</v>
      </c>
      <c r="P19">
        <v>6.8759473506361003E-3</v>
      </c>
      <c r="Q19">
        <v>4.5784886460751503E-3</v>
      </c>
    </row>
    <row r="20" spans="1:17" x14ac:dyDescent="0.5">
      <c r="A20" t="s">
        <v>18</v>
      </c>
      <c r="B20">
        <v>1960</v>
      </c>
      <c r="C20">
        <v>1968</v>
      </c>
      <c r="D20">
        <v>12</v>
      </c>
      <c r="E20">
        <v>12</v>
      </c>
      <c r="F20">
        <v>1.6533269081263999E-3</v>
      </c>
      <c r="G20">
        <v>1.1396216228604299E-2</v>
      </c>
      <c r="H20">
        <v>9.7428893204779005E-3</v>
      </c>
      <c r="I20">
        <v>6.8805589883898205E-2</v>
      </c>
      <c r="J20">
        <v>5.73379915699152E-3</v>
      </c>
      <c r="K20">
        <v>6.2111018535991004E-3</v>
      </c>
      <c r="L20">
        <v>3.1502053141899398E-3</v>
      </c>
      <c r="M20">
        <v>1.6533269081263999E-3</v>
      </c>
      <c r="N20">
        <v>1.6533269081263999E-3</v>
      </c>
      <c r="O20">
        <v>2.7591041289269499E-3</v>
      </c>
      <c r="P20">
        <v>7.5359640953440998E-3</v>
      </c>
      <c r="Q20">
        <v>4.7768599664171499E-3</v>
      </c>
    </row>
    <row r="21" spans="1:17" x14ac:dyDescent="0.5">
      <c r="A21" t="s">
        <v>18</v>
      </c>
      <c r="B21">
        <v>1960</v>
      </c>
      <c r="C21">
        <v>1969</v>
      </c>
      <c r="D21">
        <v>12</v>
      </c>
      <c r="E21">
        <v>12</v>
      </c>
      <c r="F21">
        <v>1.9114227034150999E-3</v>
      </c>
      <c r="G21">
        <v>1.77474580705166E-2</v>
      </c>
      <c r="H21">
        <v>1.58360353671015E-2</v>
      </c>
      <c r="I21">
        <v>7.7020510022217506E-2</v>
      </c>
      <c r="J21">
        <v>6.4183758351847899E-3</v>
      </c>
      <c r="K21">
        <v>4.8019788227975004E-3</v>
      </c>
      <c r="L21">
        <v>4.1861000644079502E-3</v>
      </c>
      <c r="M21">
        <v>1.9114227034150999E-3</v>
      </c>
      <c r="N21">
        <v>1.9114227034150999E-3</v>
      </c>
      <c r="O21">
        <v>4.2548925460626002E-3</v>
      </c>
      <c r="P21">
        <v>8.0768551367024002E-3</v>
      </c>
      <c r="Q21">
        <v>3.8219625906398E-3</v>
      </c>
    </row>
    <row r="22" spans="1:17" x14ac:dyDescent="0.5">
      <c r="A22" t="s">
        <v>18</v>
      </c>
      <c r="B22">
        <v>1970</v>
      </c>
      <c r="C22">
        <v>1970</v>
      </c>
      <c r="D22">
        <v>12</v>
      </c>
      <c r="E22">
        <v>12</v>
      </c>
      <c r="F22">
        <v>2.7050059288740002E-3</v>
      </c>
      <c r="G22">
        <v>9.6247363835573006E-3</v>
      </c>
      <c r="H22">
        <v>6.9197304546833004E-3</v>
      </c>
      <c r="I22">
        <v>6.7360037472098497E-2</v>
      </c>
      <c r="J22">
        <v>5.6133364560082104E-3</v>
      </c>
      <c r="K22">
        <v>5.7907529796162498E-3</v>
      </c>
      <c r="L22">
        <v>2.09802836728731E-3</v>
      </c>
      <c r="M22">
        <v>2.7050059288740002E-3</v>
      </c>
      <c r="N22">
        <v>2.7050059288740002E-3</v>
      </c>
      <c r="O22">
        <v>3.6851198722918001E-3</v>
      </c>
      <c r="P22">
        <v>6.7663761631896E-3</v>
      </c>
      <c r="Q22">
        <v>3.0812562908977999E-3</v>
      </c>
    </row>
    <row r="23" spans="1:17" x14ac:dyDescent="0.5">
      <c r="A23" t="s">
        <v>18</v>
      </c>
      <c r="B23">
        <v>1970</v>
      </c>
      <c r="C23">
        <v>1971</v>
      </c>
      <c r="D23">
        <v>12</v>
      </c>
      <c r="E23">
        <v>12</v>
      </c>
      <c r="F23">
        <v>1.58460259748E-3</v>
      </c>
      <c r="G23">
        <v>1.51510797441006E-2</v>
      </c>
      <c r="H23">
        <v>1.35664771466206E-2</v>
      </c>
      <c r="I23">
        <v>8.8440689258277097E-2</v>
      </c>
      <c r="J23">
        <v>7.3700574381897598E-3</v>
      </c>
      <c r="K23">
        <v>7.0791831240057503E-3</v>
      </c>
      <c r="L23">
        <v>4.0459470293964604E-3</v>
      </c>
      <c r="M23">
        <v>1.58460259748E-3</v>
      </c>
      <c r="N23">
        <v>1.58460259748E-3</v>
      </c>
      <c r="O23">
        <v>3.7463690775135501E-3</v>
      </c>
      <c r="P23">
        <v>1.03786758457621E-2</v>
      </c>
      <c r="Q23">
        <v>6.63230676824855E-3</v>
      </c>
    </row>
    <row r="24" spans="1:17" x14ac:dyDescent="0.5">
      <c r="A24" t="s">
        <v>18</v>
      </c>
      <c r="B24">
        <v>1970</v>
      </c>
      <c r="C24">
        <v>1972</v>
      </c>
      <c r="D24">
        <v>12</v>
      </c>
      <c r="E24">
        <v>12</v>
      </c>
      <c r="F24">
        <v>1.5763194145013001E-3</v>
      </c>
      <c r="G24">
        <v>1.0947516188025501E-2</v>
      </c>
      <c r="H24">
        <v>9.3711967735241996E-3</v>
      </c>
      <c r="I24">
        <v>6.0075164462128801E-2</v>
      </c>
      <c r="J24">
        <v>5.0062637051774004E-3</v>
      </c>
      <c r="K24">
        <v>4.2673505765075002E-3</v>
      </c>
      <c r="L24">
        <v>2.8233888860637701E-3</v>
      </c>
      <c r="M24">
        <v>1.5763194145013001E-3</v>
      </c>
      <c r="N24">
        <v>1.5763194145013001E-3</v>
      </c>
      <c r="O24">
        <v>2.60119811476515E-3</v>
      </c>
      <c r="P24">
        <v>7.2229939978569E-3</v>
      </c>
      <c r="Q24">
        <v>4.6217958830917496E-3</v>
      </c>
    </row>
    <row r="25" spans="1:17" x14ac:dyDescent="0.5">
      <c r="A25" t="s">
        <v>18</v>
      </c>
      <c r="B25">
        <v>1970</v>
      </c>
      <c r="C25">
        <v>1973</v>
      </c>
      <c r="D25">
        <v>12</v>
      </c>
      <c r="E25">
        <v>12</v>
      </c>
      <c r="F25">
        <v>2.0536789670586001E-3</v>
      </c>
      <c r="G25">
        <v>1.07942676792542E-2</v>
      </c>
      <c r="H25">
        <v>8.7405887121955999E-3</v>
      </c>
      <c r="I25">
        <v>8.2357914807895394E-2</v>
      </c>
      <c r="J25">
        <v>6.8631595673246098E-3</v>
      </c>
      <c r="K25">
        <v>6.5264537309606503E-3</v>
      </c>
      <c r="L25">
        <v>2.9355198176175398E-3</v>
      </c>
      <c r="M25">
        <v>2.0536789670586001E-3</v>
      </c>
      <c r="N25">
        <v>2.0536789670586001E-3</v>
      </c>
      <c r="O25">
        <v>4.1812319929400502E-3</v>
      </c>
      <c r="P25">
        <v>9.8486094114681004E-3</v>
      </c>
      <c r="Q25">
        <v>5.6673774185280502E-3</v>
      </c>
    </row>
    <row r="26" spans="1:17" x14ac:dyDescent="0.5">
      <c r="A26" t="s">
        <v>18</v>
      </c>
      <c r="B26">
        <v>1970</v>
      </c>
      <c r="C26">
        <v>1974</v>
      </c>
      <c r="D26">
        <v>12</v>
      </c>
      <c r="E26">
        <v>12</v>
      </c>
      <c r="F26">
        <v>2.1093604930987001E-3</v>
      </c>
      <c r="G26">
        <v>1.13374817495545E-2</v>
      </c>
      <c r="H26">
        <v>9.2281212564557999E-3</v>
      </c>
      <c r="I26">
        <v>7.2735768432418205E-2</v>
      </c>
      <c r="J26">
        <v>6.0613140360348504E-3</v>
      </c>
      <c r="K26">
        <v>5.70695086692765E-3</v>
      </c>
      <c r="L26">
        <v>3.1366255767667898E-3</v>
      </c>
      <c r="M26">
        <v>2.1093604930987001E-3</v>
      </c>
      <c r="N26">
        <v>2.1093604930987001E-3</v>
      </c>
      <c r="O26">
        <v>3.1554280236984001E-3</v>
      </c>
      <c r="P26">
        <v>8.7143221559623507E-3</v>
      </c>
      <c r="Q26">
        <v>5.5588941322639498E-3</v>
      </c>
    </row>
    <row r="27" spans="1:17" x14ac:dyDescent="0.5">
      <c r="A27" t="s">
        <v>18</v>
      </c>
      <c r="B27">
        <v>1970</v>
      </c>
      <c r="C27">
        <v>1975</v>
      </c>
      <c r="D27">
        <v>12</v>
      </c>
      <c r="E27">
        <v>12</v>
      </c>
      <c r="F27">
        <v>1.7550870155294E-3</v>
      </c>
      <c r="G27">
        <v>1.03515032678843E-2</v>
      </c>
      <c r="H27">
        <v>8.5964162523549E-3</v>
      </c>
      <c r="I27">
        <v>8.1449019412199203E-2</v>
      </c>
      <c r="J27">
        <v>6.7874182843499298E-3</v>
      </c>
      <c r="K27">
        <v>6.9798512073854001E-3</v>
      </c>
      <c r="L27">
        <v>2.7766866584676398E-3</v>
      </c>
      <c r="M27">
        <v>1.7550870155294E-3</v>
      </c>
      <c r="N27">
        <v>1.7550870155294E-3</v>
      </c>
      <c r="O27">
        <v>4.4321533447752E-3</v>
      </c>
      <c r="P27">
        <v>9.3570295721291993E-3</v>
      </c>
      <c r="Q27">
        <v>4.9248762273540001E-3</v>
      </c>
    </row>
    <row r="28" spans="1:17" x14ac:dyDescent="0.5">
      <c r="A28" t="s">
        <v>18</v>
      </c>
      <c r="B28">
        <v>1970</v>
      </c>
      <c r="C28">
        <v>1976</v>
      </c>
      <c r="D28">
        <v>12</v>
      </c>
      <c r="E28">
        <v>12</v>
      </c>
      <c r="F28">
        <v>1.2459814315661001E-3</v>
      </c>
      <c r="G28">
        <v>1.29360947757959E-2</v>
      </c>
      <c r="H28">
        <v>1.1690113344229799E-2</v>
      </c>
      <c r="I28">
        <v>6.1113620564961897E-2</v>
      </c>
      <c r="J28">
        <v>5.0928017137468204E-3</v>
      </c>
      <c r="K28">
        <v>4.0910587025184998E-3</v>
      </c>
      <c r="L28">
        <v>3.4387973057861802E-3</v>
      </c>
      <c r="M28">
        <v>1.2459814315661001E-3</v>
      </c>
      <c r="N28">
        <v>1.2459814315661001E-3</v>
      </c>
      <c r="O28">
        <v>2.2722964834731999E-3</v>
      </c>
      <c r="P28">
        <v>7.6935671580333998E-3</v>
      </c>
      <c r="Q28">
        <v>5.4212706745602E-3</v>
      </c>
    </row>
    <row r="29" spans="1:17" x14ac:dyDescent="0.5">
      <c r="A29" t="s">
        <v>18</v>
      </c>
      <c r="B29">
        <v>1970</v>
      </c>
      <c r="C29">
        <v>1977</v>
      </c>
      <c r="D29">
        <v>12</v>
      </c>
      <c r="E29">
        <v>12</v>
      </c>
      <c r="F29">
        <v>1.7751972191034999E-3</v>
      </c>
      <c r="G29">
        <v>9.1513848553101008E-3</v>
      </c>
      <c r="H29">
        <v>7.3761876362065998E-3</v>
      </c>
      <c r="I29">
        <v>6.3165502001841303E-2</v>
      </c>
      <c r="J29">
        <v>5.2637918334867799E-3</v>
      </c>
      <c r="K29">
        <v>4.1369884662950497E-3</v>
      </c>
      <c r="L29">
        <v>2.5637533689729301E-3</v>
      </c>
      <c r="M29">
        <v>1.7751972191034999E-3</v>
      </c>
      <c r="N29">
        <v>1.7751972191034999E-3</v>
      </c>
      <c r="O29">
        <v>3.1324016551175999E-3</v>
      </c>
      <c r="P29">
        <v>7.7696287383635498E-3</v>
      </c>
      <c r="Q29">
        <v>4.6372270832459499E-3</v>
      </c>
    </row>
    <row r="30" spans="1:17" x14ac:dyDescent="0.5">
      <c r="A30" t="s">
        <v>18</v>
      </c>
      <c r="B30">
        <v>1970</v>
      </c>
      <c r="C30">
        <v>1978</v>
      </c>
      <c r="D30">
        <v>12</v>
      </c>
      <c r="E30">
        <v>12</v>
      </c>
      <c r="F30">
        <v>1.8311803384373001E-3</v>
      </c>
      <c r="G30">
        <v>1.57748386263847E-2</v>
      </c>
      <c r="H30">
        <v>1.39436582879474E-2</v>
      </c>
      <c r="I30">
        <v>6.8311434471979196E-2</v>
      </c>
      <c r="J30">
        <v>5.6926195393315997E-3</v>
      </c>
      <c r="K30">
        <v>4.4486675954733997E-3</v>
      </c>
      <c r="L30">
        <v>3.7194107139368899E-3</v>
      </c>
      <c r="M30">
        <v>1.8311803384373001E-3</v>
      </c>
      <c r="N30">
        <v>1.8311803384373001E-3</v>
      </c>
      <c r="O30">
        <v>3.581365958477E-3</v>
      </c>
      <c r="P30">
        <v>7.1601569652557E-3</v>
      </c>
      <c r="Q30">
        <v>3.5787910067787E-3</v>
      </c>
    </row>
    <row r="31" spans="1:17" x14ac:dyDescent="0.5">
      <c r="A31" t="s">
        <v>18</v>
      </c>
      <c r="B31">
        <v>1970</v>
      </c>
      <c r="C31">
        <v>1979</v>
      </c>
      <c r="D31">
        <v>12</v>
      </c>
      <c r="E31">
        <v>12</v>
      </c>
      <c r="F31">
        <v>2.9140118664751002E-3</v>
      </c>
      <c r="G31">
        <v>1.53729915618896E-2</v>
      </c>
      <c r="H31">
        <v>1.2458979695414501E-2</v>
      </c>
      <c r="I31">
        <v>8.46877909110232E-2</v>
      </c>
      <c r="J31">
        <v>7.0573159092519296E-3</v>
      </c>
      <c r="K31">
        <v>5.7747656634698002E-3</v>
      </c>
      <c r="L31">
        <v>3.88283022950034E-3</v>
      </c>
      <c r="M31">
        <v>2.9140118664751002E-3</v>
      </c>
      <c r="N31">
        <v>2.9140118664751002E-3</v>
      </c>
      <c r="O31">
        <v>3.9116260595619002E-3</v>
      </c>
      <c r="P31">
        <v>1.03378736724456E-2</v>
      </c>
      <c r="Q31">
        <v>6.4262476128836496E-3</v>
      </c>
    </row>
    <row r="32" spans="1:17" x14ac:dyDescent="0.5">
      <c r="A32" t="s">
        <v>18</v>
      </c>
      <c r="B32">
        <v>1980</v>
      </c>
      <c r="C32">
        <v>1980</v>
      </c>
      <c r="D32">
        <v>12</v>
      </c>
      <c r="E32">
        <v>12</v>
      </c>
      <c r="F32">
        <v>1.5404882530371E-3</v>
      </c>
      <c r="G32">
        <v>8.4071268017093005E-3</v>
      </c>
      <c r="H32">
        <v>6.8666385486722001E-3</v>
      </c>
      <c r="I32">
        <v>5.6553308696795999E-2</v>
      </c>
      <c r="J32">
        <v>4.712775724733E-3</v>
      </c>
      <c r="K32">
        <v>3.9302511140703496E-3</v>
      </c>
      <c r="L32">
        <v>2.37424552549705E-3</v>
      </c>
      <c r="M32">
        <v>1.5404882530371E-3</v>
      </c>
      <c r="N32">
        <v>1.5404882530371E-3</v>
      </c>
      <c r="O32">
        <v>2.4894232628867E-3</v>
      </c>
      <c r="P32">
        <v>7.5182861958939997E-3</v>
      </c>
      <c r="Q32">
        <v>5.0288629330073002E-3</v>
      </c>
    </row>
    <row r="33" spans="1:17" x14ac:dyDescent="0.5">
      <c r="A33" t="s">
        <v>18</v>
      </c>
      <c r="B33">
        <v>1980</v>
      </c>
      <c r="C33">
        <v>1981</v>
      </c>
      <c r="D33">
        <v>12</v>
      </c>
      <c r="E33">
        <v>12</v>
      </c>
      <c r="F33">
        <v>2.3070876486598999E-3</v>
      </c>
      <c r="G33">
        <v>1.54986977577209E-2</v>
      </c>
      <c r="H33">
        <v>1.3191610109060999E-2</v>
      </c>
      <c r="I33">
        <v>9.5955272981275694E-2</v>
      </c>
      <c r="J33">
        <v>7.9962727484396406E-3</v>
      </c>
      <c r="K33">
        <v>6.8056141026317501E-3</v>
      </c>
      <c r="L33">
        <v>4.0203777779864499E-3</v>
      </c>
      <c r="M33">
        <v>2.3070876486598999E-3</v>
      </c>
      <c r="N33">
        <v>2.3070876486598999E-3</v>
      </c>
      <c r="O33">
        <v>5.0256770725051001E-3</v>
      </c>
      <c r="P33">
        <v>1.16908669782182E-2</v>
      </c>
      <c r="Q33">
        <v>6.6651899057131002E-3</v>
      </c>
    </row>
    <row r="34" spans="1:17" x14ac:dyDescent="0.5">
      <c r="A34" t="s">
        <v>18</v>
      </c>
      <c r="B34">
        <v>1980</v>
      </c>
      <c r="C34">
        <v>1982</v>
      </c>
      <c r="D34">
        <v>12</v>
      </c>
      <c r="E34">
        <v>12</v>
      </c>
      <c r="F34">
        <v>6.35782664176E-4</v>
      </c>
      <c r="G34">
        <v>1.7092052847146998E-2</v>
      </c>
      <c r="H34">
        <v>1.6456270182971001E-2</v>
      </c>
      <c r="I34">
        <v>7.2128768447630803E-2</v>
      </c>
      <c r="J34">
        <v>6.0107307039692299E-3</v>
      </c>
      <c r="K34">
        <v>5.7746148668228999E-3</v>
      </c>
      <c r="L34">
        <v>4.2273594004909997E-3</v>
      </c>
      <c r="M34">
        <v>6.35782664176E-4</v>
      </c>
      <c r="N34">
        <v>6.35782664176E-4</v>
      </c>
      <c r="O34">
        <v>2.5902367973078999E-3</v>
      </c>
      <c r="P34">
        <v>7.7266052054861499E-3</v>
      </c>
      <c r="Q34">
        <v>5.1363684081782504E-3</v>
      </c>
    </row>
    <row r="35" spans="1:17" x14ac:dyDescent="0.5">
      <c r="A35" t="s">
        <v>18</v>
      </c>
      <c r="B35">
        <v>1980</v>
      </c>
      <c r="C35">
        <v>1983</v>
      </c>
      <c r="D35">
        <v>12</v>
      </c>
      <c r="E35">
        <v>12</v>
      </c>
      <c r="F35">
        <v>1.1299255032402001E-3</v>
      </c>
      <c r="G35">
        <v>1.2643276403347699E-2</v>
      </c>
      <c r="H35">
        <v>1.1513350900107499E-2</v>
      </c>
      <c r="I35">
        <v>6.1486832797526897E-2</v>
      </c>
      <c r="J35">
        <v>5.12390273312724E-3</v>
      </c>
      <c r="K35">
        <v>4.5370740505555496E-3</v>
      </c>
      <c r="L35">
        <v>3.5801114433024598E-3</v>
      </c>
      <c r="M35">
        <v>1.1299255032402001E-3</v>
      </c>
      <c r="N35">
        <v>1.1299255032402001E-3</v>
      </c>
      <c r="O35">
        <v>1.8900052333871E-3</v>
      </c>
      <c r="P35">
        <v>7.4142597926159497E-3</v>
      </c>
      <c r="Q35">
        <v>5.52425455922885E-3</v>
      </c>
    </row>
    <row r="36" spans="1:17" x14ac:dyDescent="0.5">
      <c r="A36" t="s">
        <v>18</v>
      </c>
      <c r="B36">
        <v>1980</v>
      </c>
      <c r="C36">
        <v>1984</v>
      </c>
      <c r="D36">
        <v>12</v>
      </c>
      <c r="E36">
        <v>12</v>
      </c>
      <c r="F36">
        <v>2.2622242492312998E-3</v>
      </c>
      <c r="G36">
        <v>1.19448825716972E-2</v>
      </c>
      <c r="H36">
        <v>9.6826583224658997E-3</v>
      </c>
      <c r="I36">
        <v>7.5164848046066504E-2</v>
      </c>
      <c r="J36">
        <v>6.2637373371722104E-3</v>
      </c>
      <c r="K36">
        <v>6.3894880780329E-3</v>
      </c>
      <c r="L36">
        <v>2.7857182457772202E-3</v>
      </c>
      <c r="M36">
        <v>2.2622242492312998E-3</v>
      </c>
      <c r="N36">
        <v>2.2622242492312998E-3</v>
      </c>
      <c r="O36">
        <v>3.8692795205861E-3</v>
      </c>
      <c r="P36">
        <v>7.5701937700310999E-3</v>
      </c>
      <c r="Q36">
        <v>3.7009142494449998E-3</v>
      </c>
    </row>
    <row r="37" spans="1:17" x14ac:dyDescent="0.5">
      <c r="A37" t="s">
        <v>18</v>
      </c>
      <c r="B37">
        <v>1980</v>
      </c>
      <c r="C37">
        <v>1985</v>
      </c>
      <c r="D37">
        <v>12</v>
      </c>
      <c r="E37">
        <v>12</v>
      </c>
      <c r="F37">
        <v>2.7394917948791999E-3</v>
      </c>
      <c r="G37">
        <v>9.4353780150412993E-3</v>
      </c>
      <c r="H37">
        <v>6.6958862201621002E-3</v>
      </c>
      <c r="I37">
        <v>6.9588760379701298E-2</v>
      </c>
      <c r="J37">
        <v>5.7990633649751102E-3</v>
      </c>
      <c r="K37">
        <v>5.6500236193338504E-3</v>
      </c>
      <c r="L37">
        <v>2.2892318493286201E-3</v>
      </c>
      <c r="M37">
        <v>2.7394917948791999E-3</v>
      </c>
      <c r="N37">
        <v>2.7394917948791999E-3</v>
      </c>
      <c r="O37">
        <v>3.7523480908324002E-3</v>
      </c>
      <c r="P37">
        <v>7.9076229594647503E-3</v>
      </c>
      <c r="Q37">
        <v>4.1552748686323497E-3</v>
      </c>
    </row>
    <row r="38" spans="1:17" x14ac:dyDescent="0.5">
      <c r="A38" t="s">
        <v>18</v>
      </c>
      <c r="B38">
        <v>1980</v>
      </c>
      <c r="C38">
        <v>1986</v>
      </c>
      <c r="D38">
        <v>12</v>
      </c>
      <c r="E38">
        <v>12</v>
      </c>
      <c r="F38">
        <v>1.1311603011563E-3</v>
      </c>
      <c r="G38">
        <v>1.39201593895753E-2</v>
      </c>
      <c r="H38">
        <v>1.2788999088419E-2</v>
      </c>
      <c r="I38">
        <v>7.2057797806337101E-2</v>
      </c>
      <c r="J38">
        <v>6.0048164838614297E-3</v>
      </c>
      <c r="K38">
        <v>5.3225860465317496E-3</v>
      </c>
      <c r="L38">
        <v>3.9573892996205302E-3</v>
      </c>
      <c r="M38">
        <v>1.1311603011563E-3</v>
      </c>
      <c r="N38">
        <v>1.1311603011563E-3</v>
      </c>
      <c r="O38">
        <v>2.7127060651158E-3</v>
      </c>
      <c r="P38">
        <v>7.9448092728853E-3</v>
      </c>
      <c r="Q38">
        <v>5.2321032077694996E-3</v>
      </c>
    </row>
    <row r="39" spans="1:17" x14ac:dyDescent="0.5">
      <c r="A39" t="s">
        <v>18</v>
      </c>
      <c r="B39">
        <v>1980</v>
      </c>
      <c r="C39">
        <v>1987</v>
      </c>
      <c r="D39">
        <v>12</v>
      </c>
      <c r="E39">
        <v>12</v>
      </c>
      <c r="F39">
        <v>1.7522134197255001E-3</v>
      </c>
      <c r="G39">
        <v>1.04732966671387E-2</v>
      </c>
      <c r="H39">
        <v>8.7210832474132003E-3</v>
      </c>
      <c r="I39">
        <v>6.5885974094271202E-2</v>
      </c>
      <c r="J39">
        <v>5.4904978411892697E-3</v>
      </c>
      <c r="K39">
        <v>4.5299495104699997E-3</v>
      </c>
      <c r="L39">
        <v>3.21227825420936E-3</v>
      </c>
      <c r="M39">
        <v>1.7522134197255001E-3</v>
      </c>
      <c r="N39">
        <v>1.7522134197255001E-3</v>
      </c>
      <c r="O39">
        <v>2.4449496607606E-3</v>
      </c>
      <c r="P39">
        <v>8.9148394763469002E-3</v>
      </c>
      <c r="Q39">
        <v>6.4698898155863003E-3</v>
      </c>
    </row>
    <row r="40" spans="1:17" x14ac:dyDescent="0.5">
      <c r="A40" t="s">
        <v>18</v>
      </c>
      <c r="B40">
        <v>1980</v>
      </c>
      <c r="C40">
        <v>1988</v>
      </c>
      <c r="D40">
        <v>12</v>
      </c>
      <c r="E40">
        <v>12</v>
      </c>
      <c r="F40">
        <v>3.4611586791773001E-3</v>
      </c>
      <c r="G40">
        <v>1.998653759559E-2</v>
      </c>
      <c r="H40">
        <v>1.6525378916412699E-2</v>
      </c>
      <c r="I40">
        <v>9.6728712009886503E-2</v>
      </c>
      <c r="J40">
        <v>8.0607260008238694E-3</v>
      </c>
      <c r="K40">
        <v>6.2144713010638501E-3</v>
      </c>
      <c r="L40">
        <v>4.4366276478861296E-3</v>
      </c>
      <c r="M40">
        <v>3.4611586791773001E-3</v>
      </c>
      <c r="N40">
        <v>3.4611586791773001E-3</v>
      </c>
      <c r="O40">
        <v>5.0431235382953996E-3</v>
      </c>
      <c r="P40">
        <v>1.0245312470942699E-2</v>
      </c>
      <c r="Q40">
        <v>5.2021889326472996E-3</v>
      </c>
    </row>
    <row r="41" spans="1:17" x14ac:dyDescent="0.5">
      <c r="A41" t="s">
        <v>18</v>
      </c>
      <c r="B41">
        <v>1980</v>
      </c>
      <c r="C41">
        <v>1989</v>
      </c>
      <c r="D41">
        <v>12</v>
      </c>
      <c r="E41">
        <v>12</v>
      </c>
      <c r="F41">
        <v>1.9386836793273E-3</v>
      </c>
      <c r="G41">
        <v>8.7388673176367997E-3</v>
      </c>
      <c r="H41">
        <v>6.8001836383095003E-3</v>
      </c>
      <c r="I41">
        <v>6.6237710338706304E-2</v>
      </c>
      <c r="J41">
        <v>5.5198091948921897E-3</v>
      </c>
      <c r="K41">
        <v>5.65737175444755E-3</v>
      </c>
      <c r="L41">
        <v>2.1123840497351098E-3</v>
      </c>
      <c r="M41">
        <v>1.9386836793273E-3</v>
      </c>
      <c r="N41">
        <v>1.9386836793273E-3</v>
      </c>
      <c r="O41">
        <v>3.7704463272044998E-3</v>
      </c>
      <c r="P41">
        <v>7.1718899998813503E-3</v>
      </c>
      <c r="Q41">
        <v>3.4014436726768501E-3</v>
      </c>
    </row>
    <row r="42" spans="1:17" x14ac:dyDescent="0.5">
      <c r="A42" t="s">
        <v>18</v>
      </c>
      <c r="B42">
        <v>1990</v>
      </c>
      <c r="C42">
        <v>1990</v>
      </c>
      <c r="D42">
        <v>12</v>
      </c>
      <c r="E42">
        <v>12</v>
      </c>
      <c r="F42">
        <v>1.5931075128416E-3</v>
      </c>
      <c r="G42">
        <v>1.24307389681538E-2</v>
      </c>
      <c r="H42">
        <v>1.08376314553122E-2</v>
      </c>
      <c r="I42">
        <v>6.3584686412165095E-2</v>
      </c>
      <c r="J42">
        <v>5.2987238676804301E-3</v>
      </c>
      <c r="K42">
        <v>4.96172470351055E-3</v>
      </c>
      <c r="L42">
        <v>3.4397089093544699E-3</v>
      </c>
      <c r="M42">
        <v>1.5931075128416E-3</v>
      </c>
      <c r="N42">
        <v>1.5931075128416E-3</v>
      </c>
      <c r="O42">
        <v>2.17489451946065E-3</v>
      </c>
      <c r="P42">
        <v>6.1945965668806996E-3</v>
      </c>
      <c r="Q42">
        <v>4.0197020474200497E-3</v>
      </c>
    </row>
    <row r="43" spans="1:17" x14ac:dyDescent="0.5">
      <c r="A43" t="s">
        <v>18</v>
      </c>
      <c r="B43">
        <v>1990</v>
      </c>
      <c r="C43">
        <v>1991</v>
      </c>
      <c r="D43">
        <v>12</v>
      </c>
      <c r="E43">
        <v>12</v>
      </c>
      <c r="F43">
        <v>1.5561130518714E-3</v>
      </c>
      <c r="G43">
        <v>1.25026814639568E-2</v>
      </c>
      <c r="H43">
        <v>1.0946568412085401E-2</v>
      </c>
      <c r="I43">
        <v>7.5983043992891394E-2</v>
      </c>
      <c r="J43">
        <v>6.3319203327409498E-3</v>
      </c>
      <c r="K43">
        <v>5.9657488018274004E-3</v>
      </c>
      <c r="L43">
        <v>3.12709330747551E-3</v>
      </c>
      <c r="M43">
        <v>1.5561130518714E-3</v>
      </c>
      <c r="N43">
        <v>1.5561130518714E-3</v>
      </c>
      <c r="O43">
        <v>4.0666499019910004E-3</v>
      </c>
      <c r="P43">
        <v>7.8489932542045501E-3</v>
      </c>
      <c r="Q43">
        <v>3.7823433522135501E-3</v>
      </c>
    </row>
    <row r="44" spans="1:17" x14ac:dyDescent="0.5">
      <c r="A44" t="s">
        <v>18</v>
      </c>
      <c r="B44">
        <v>1990</v>
      </c>
      <c r="C44">
        <v>1992</v>
      </c>
      <c r="D44">
        <v>12</v>
      </c>
      <c r="E44">
        <v>12</v>
      </c>
      <c r="F44">
        <v>2.0668921060860001E-3</v>
      </c>
      <c r="G44">
        <v>1.0554187310238701E-2</v>
      </c>
      <c r="H44">
        <v>8.4872952041527006E-3</v>
      </c>
      <c r="I44">
        <v>6.05552360260233E-2</v>
      </c>
      <c r="J44">
        <v>5.0462696688352701E-3</v>
      </c>
      <c r="K44">
        <v>4.8016279082124004E-3</v>
      </c>
      <c r="L44">
        <v>2.4257476640879901E-3</v>
      </c>
      <c r="M44">
        <v>2.0668921060860001E-3</v>
      </c>
      <c r="N44">
        <v>2.0668921060860001E-3</v>
      </c>
      <c r="O44">
        <v>2.9710781527682501E-3</v>
      </c>
      <c r="P44">
        <v>6.4592768903821004E-3</v>
      </c>
      <c r="Q44">
        <v>3.4881987376138499E-3</v>
      </c>
    </row>
    <row r="45" spans="1:17" x14ac:dyDescent="0.5">
      <c r="A45" t="s">
        <v>18</v>
      </c>
      <c r="B45">
        <v>1990</v>
      </c>
      <c r="C45">
        <v>1993</v>
      </c>
      <c r="D45">
        <v>12</v>
      </c>
      <c r="E45">
        <v>12</v>
      </c>
      <c r="F45">
        <v>1.2881684233434E-3</v>
      </c>
      <c r="G45">
        <v>1.3889498387773799E-2</v>
      </c>
      <c r="H45">
        <v>1.26013299644304E-2</v>
      </c>
      <c r="I45">
        <v>8.0358325600778796E-2</v>
      </c>
      <c r="J45">
        <v>6.6965271333982298E-3</v>
      </c>
      <c r="K45">
        <v>5.1456650253384499E-3</v>
      </c>
      <c r="L45">
        <v>4.5280220475120902E-3</v>
      </c>
      <c r="M45">
        <v>1.2881684233434E-3</v>
      </c>
      <c r="N45">
        <v>1.2881684233434E-3</v>
      </c>
      <c r="O45">
        <v>2.5058847580415001E-3</v>
      </c>
      <c r="P45">
        <v>1.1826726918419199E-2</v>
      </c>
      <c r="Q45">
        <v>9.3208421603777E-3</v>
      </c>
    </row>
    <row r="46" spans="1:17" x14ac:dyDescent="0.5">
      <c r="A46" t="s">
        <v>18</v>
      </c>
      <c r="B46">
        <v>1990</v>
      </c>
      <c r="C46">
        <v>1994</v>
      </c>
      <c r="D46">
        <v>12</v>
      </c>
      <c r="E46">
        <v>12</v>
      </c>
      <c r="F46">
        <v>2.0203040136645002E-3</v>
      </c>
      <c r="G46">
        <v>1.1293586033086001E-2</v>
      </c>
      <c r="H46">
        <v>9.2732820194214999E-3</v>
      </c>
      <c r="I46">
        <v>7.3586645768954906E-2</v>
      </c>
      <c r="J46">
        <v>6.1322204807462404E-3</v>
      </c>
      <c r="K46">
        <v>5.5719105682025E-3</v>
      </c>
      <c r="L46">
        <v>3.2669713247856298E-3</v>
      </c>
      <c r="M46">
        <v>2.0203040136645002E-3</v>
      </c>
      <c r="N46">
        <v>2.0203040136645002E-3</v>
      </c>
      <c r="O46">
        <v>2.8546239482238498E-3</v>
      </c>
      <c r="P46">
        <v>9.4189442073305003E-3</v>
      </c>
      <c r="Q46">
        <v>6.5643202591066504E-3</v>
      </c>
    </row>
    <row r="47" spans="1:17" x14ac:dyDescent="0.5">
      <c r="A47" t="s">
        <v>18</v>
      </c>
      <c r="B47">
        <v>1990</v>
      </c>
      <c r="C47">
        <v>1995</v>
      </c>
      <c r="D47">
        <v>12</v>
      </c>
      <c r="E47">
        <v>12</v>
      </c>
      <c r="F47">
        <v>1.5491688391192999E-3</v>
      </c>
      <c r="G47">
        <v>1.2372620403766601E-2</v>
      </c>
      <c r="H47">
        <v>1.0823451564647301E-2</v>
      </c>
      <c r="I47">
        <v>7.9784350974174301E-2</v>
      </c>
      <c r="J47">
        <v>6.6486959145145201E-3</v>
      </c>
      <c r="K47">
        <v>6.1032189211497499E-3</v>
      </c>
      <c r="L47">
        <v>2.9328461073714601E-3</v>
      </c>
      <c r="M47">
        <v>1.5491688391192999E-3</v>
      </c>
      <c r="N47">
        <v>1.5491688391192999E-3</v>
      </c>
      <c r="O47">
        <v>5.1690211985259997E-3</v>
      </c>
      <c r="P47">
        <v>8.18161666393275E-3</v>
      </c>
      <c r="Q47">
        <v>3.0125954654067499E-3</v>
      </c>
    </row>
    <row r="48" spans="1:17" x14ac:dyDescent="0.5">
      <c r="A48" t="s">
        <v>18</v>
      </c>
      <c r="B48">
        <v>1990</v>
      </c>
      <c r="C48">
        <v>1996</v>
      </c>
      <c r="D48">
        <v>12</v>
      </c>
      <c r="E48">
        <v>12</v>
      </c>
      <c r="F48">
        <v>1.8716442864388E-3</v>
      </c>
      <c r="G48">
        <v>8.9582217236359001E-3</v>
      </c>
      <c r="H48">
        <v>7.0865774371970999E-3</v>
      </c>
      <c r="I48">
        <v>6.4648340766627996E-2</v>
      </c>
      <c r="J48">
        <v>5.3873617305523298E-3</v>
      </c>
      <c r="K48">
        <v>4.8932213491449496E-3</v>
      </c>
      <c r="L48">
        <v>2.0862550639680999E-3</v>
      </c>
      <c r="M48">
        <v>1.8716442864388E-3</v>
      </c>
      <c r="N48">
        <v>1.8716442864388E-3</v>
      </c>
      <c r="O48">
        <v>4.1267221483090996E-3</v>
      </c>
      <c r="P48">
        <v>7.6228089941044004E-3</v>
      </c>
      <c r="Q48">
        <v>3.4960868457952999E-3</v>
      </c>
    </row>
    <row r="49" spans="1:17" x14ac:dyDescent="0.5">
      <c r="A49" t="s">
        <v>18</v>
      </c>
      <c r="B49">
        <v>1990</v>
      </c>
      <c r="C49">
        <v>1997</v>
      </c>
      <c r="D49">
        <v>12</v>
      </c>
      <c r="E49">
        <v>12</v>
      </c>
      <c r="F49">
        <v>7.7583592307440001E-4</v>
      </c>
      <c r="G49">
        <v>9.1139459982514E-3</v>
      </c>
      <c r="H49">
        <v>8.3381100751769993E-3</v>
      </c>
      <c r="I49">
        <v>5.8077964679492701E-2</v>
      </c>
      <c r="J49">
        <v>4.8398303899577196E-3</v>
      </c>
      <c r="K49">
        <v>4.99501467371975E-3</v>
      </c>
      <c r="L49">
        <v>2.7505513836941502E-3</v>
      </c>
      <c r="M49">
        <v>7.7583592307440001E-4</v>
      </c>
      <c r="N49">
        <v>7.7583592307440001E-4</v>
      </c>
      <c r="O49">
        <v>2.2038100287317501E-3</v>
      </c>
      <c r="P49">
        <v>6.7957496891418497E-3</v>
      </c>
      <c r="Q49">
        <v>4.5919396604100996E-3</v>
      </c>
    </row>
    <row r="50" spans="1:17" x14ac:dyDescent="0.5">
      <c r="A50" t="s">
        <v>18</v>
      </c>
      <c r="B50">
        <v>1990</v>
      </c>
      <c r="C50">
        <v>1998</v>
      </c>
      <c r="D50">
        <v>12</v>
      </c>
      <c r="E50">
        <v>12</v>
      </c>
      <c r="F50">
        <v>1.2079509906469999E-3</v>
      </c>
      <c r="G50">
        <v>2.0516995340585702E-2</v>
      </c>
      <c r="H50">
        <v>1.93090443499387E-2</v>
      </c>
      <c r="I50">
        <v>7.8806869336403504E-2</v>
      </c>
      <c r="J50">
        <v>6.5672391113669598E-3</v>
      </c>
      <c r="K50">
        <v>6.22431390608345E-3</v>
      </c>
      <c r="L50">
        <v>5.1517508573822998E-3</v>
      </c>
      <c r="M50">
        <v>1.2079509906469999E-3</v>
      </c>
      <c r="N50">
        <v>1.2079509906469999E-3</v>
      </c>
      <c r="O50">
        <v>1.9423510530032001E-3</v>
      </c>
      <c r="P50">
        <v>8.3208394547303506E-3</v>
      </c>
      <c r="Q50">
        <v>6.3784884017271497E-3</v>
      </c>
    </row>
    <row r="51" spans="1:17" x14ac:dyDescent="0.5">
      <c r="A51" t="s">
        <v>18</v>
      </c>
      <c r="B51">
        <v>1990</v>
      </c>
      <c r="C51">
        <v>1999</v>
      </c>
      <c r="D51">
        <v>12</v>
      </c>
      <c r="E51">
        <v>12</v>
      </c>
      <c r="F51">
        <v>1.776405222093E-3</v>
      </c>
      <c r="G51">
        <v>1.2113009269038799E-2</v>
      </c>
      <c r="H51">
        <v>1.0336604046945801E-2</v>
      </c>
      <c r="I51">
        <v>8.0395721908037301E-2</v>
      </c>
      <c r="J51">
        <v>6.6996434923364398E-3</v>
      </c>
      <c r="K51">
        <v>6.6139396900931503E-3</v>
      </c>
      <c r="L51">
        <v>3.02998381910207E-3</v>
      </c>
      <c r="M51">
        <v>1.776405222093E-3</v>
      </c>
      <c r="N51">
        <v>1.776405222093E-3</v>
      </c>
      <c r="O51">
        <v>4.0063840957978497E-3</v>
      </c>
      <c r="P51">
        <v>8.6929535803695005E-3</v>
      </c>
      <c r="Q51">
        <v>4.68656948457165E-3</v>
      </c>
    </row>
    <row r="52" spans="1:17" x14ac:dyDescent="0.5">
      <c r="A52" t="s">
        <v>18</v>
      </c>
      <c r="B52">
        <v>2000</v>
      </c>
      <c r="C52">
        <v>2000</v>
      </c>
      <c r="D52">
        <v>12</v>
      </c>
      <c r="E52">
        <v>12</v>
      </c>
      <c r="F52">
        <v>1.4775253948755001E-3</v>
      </c>
      <c r="G52">
        <v>9.0762637555599004E-3</v>
      </c>
      <c r="H52">
        <v>7.5987383606843997E-3</v>
      </c>
      <c r="I52">
        <v>6.1779080637885501E-2</v>
      </c>
      <c r="J52">
        <v>5.1482567198237903E-3</v>
      </c>
      <c r="K52">
        <v>4.9367561005055497E-3</v>
      </c>
      <c r="L52">
        <v>2.0730595574597198E-3</v>
      </c>
      <c r="M52">
        <v>1.4775253948755001E-3</v>
      </c>
      <c r="N52">
        <v>1.4775253948755001E-3</v>
      </c>
      <c r="O52">
        <v>3.63883364479985E-3</v>
      </c>
      <c r="P52">
        <v>6.5669027778009498E-3</v>
      </c>
      <c r="Q52">
        <v>2.9280691330010999E-3</v>
      </c>
    </row>
    <row r="53" spans="1:17" x14ac:dyDescent="0.5">
      <c r="A53" t="s">
        <v>18</v>
      </c>
      <c r="B53">
        <v>2000</v>
      </c>
      <c r="C53">
        <v>2001</v>
      </c>
      <c r="D53">
        <v>12</v>
      </c>
      <c r="E53">
        <v>12</v>
      </c>
      <c r="F53">
        <v>9.7882347957539998E-4</v>
      </c>
      <c r="G53">
        <v>1.4857808748881001E-2</v>
      </c>
      <c r="H53">
        <v>1.38789852693056E-2</v>
      </c>
      <c r="I53">
        <v>5.5570461981308501E-2</v>
      </c>
      <c r="J53">
        <v>4.6308718317757099E-3</v>
      </c>
      <c r="K53">
        <v>3.8756655994802501E-3</v>
      </c>
      <c r="L53">
        <v>3.41854256355759E-3</v>
      </c>
      <c r="M53">
        <v>9.7882347957539998E-4</v>
      </c>
      <c r="N53">
        <v>9.7882347957539998E-4</v>
      </c>
      <c r="O53">
        <v>2.5693698165316502E-3</v>
      </c>
      <c r="P53">
        <v>5.4243872873485002E-3</v>
      </c>
      <c r="Q53">
        <v>2.85501747081685E-3</v>
      </c>
    </row>
    <row r="54" spans="1:17" x14ac:dyDescent="0.5">
      <c r="A54" t="s">
        <v>18</v>
      </c>
      <c r="B54">
        <v>2000</v>
      </c>
      <c r="C54">
        <v>2002</v>
      </c>
      <c r="D54">
        <v>12</v>
      </c>
      <c r="E54">
        <v>12</v>
      </c>
      <c r="F54">
        <v>1.7271823404977E-3</v>
      </c>
      <c r="G54">
        <v>1.2018294384082201E-2</v>
      </c>
      <c r="H54">
        <v>1.02911120435845E-2</v>
      </c>
      <c r="I54">
        <v>5.8274590953563299E-2</v>
      </c>
      <c r="J54">
        <v>4.8562159127969401E-3</v>
      </c>
      <c r="K54">
        <v>4.3923879663148998E-3</v>
      </c>
      <c r="L54">
        <v>2.7969316834759199E-3</v>
      </c>
      <c r="M54">
        <v>1.7271823404977E-3</v>
      </c>
      <c r="N54">
        <v>1.7271823404977E-3</v>
      </c>
      <c r="O54">
        <v>2.9814762917036502E-3</v>
      </c>
      <c r="P54">
        <v>6.3057810378571002E-3</v>
      </c>
      <c r="Q54">
        <v>3.3243047461534499E-3</v>
      </c>
    </row>
    <row r="55" spans="1:17" x14ac:dyDescent="0.5">
      <c r="A55" t="s">
        <v>18</v>
      </c>
      <c r="B55">
        <v>2000</v>
      </c>
      <c r="C55">
        <v>2003</v>
      </c>
      <c r="D55">
        <v>12</v>
      </c>
      <c r="E55">
        <v>12</v>
      </c>
      <c r="F55">
        <v>2.0572647918014999E-3</v>
      </c>
      <c r="G55">
        <v>9.0871974825859E-3</v>
      </c>
      <c r="H55">
        <v>7.0299326907844002E-3</v>
      </c>
      <c r="I55">
        <v>5.5541614652611003E-2</v>
      </c>
      <c r="J55">
        <v>4.6284678877175798E-3</v>
      </c>
      <c r="K55">
        <v>3.7010766876240499E-3</v>
      </c>
      <c r="L55">
        <v>2.53756957386214E-3</v>
      </c>
      <c r="M55">
        <v>2.0572647918014999E-3</v>
      </c>
      <c r="N55">
        <v>2.0572647918014999E-3</v>
      </c>
      <c r="O55">
        <v>2.4144036966996501E-3</v>
      </c>
      <c r="P55">
        <v>7.1240270820756499E-3</v>
      </c>
      <c r="Q55">
        <v>4.7096233853759998E-3</v>
      </c>
    </row>
    <row r="56" spans="1:17" x14ac:dyDescent="0.5">
      <c r="A56" t="s">
        <v>18</v>
      </c>
      <c r="B56">
        <v>2000</v>
      </c>
      <c r="C56">
        <v>2004</v>
      </c>
      <c r="D56">
        <v>12</v>
      </c>
      <c r="E56">
        <v>12</v>
      </c>
      <c r="F56">
        <v>1.1348855526497001E-3</v>
      </c>
      <c r="G56">
        <v>9.6521588663259997E-3</v>
      </c>
      <c r="H56">
        <v>8.5172733136763008E-3</v>
      </c>
      <c r="I56">
        <v>5.3813761643444098E-2</v>
      </c>
      <c r="J56">
        <v>4.4844801369536801E-3</v>
      </c>
      <c r="K56">
        <v>4.0706151630729003E-3</v>
      </c>
      <c r="L56">
        <v>2.45973247263732E-3</v>
      </c>
      <c r="M56">
        <v>1.1348855526497001E-3</v>
      </c>
      <c r="N56">
        <v>1.1348855526497001E-3</v>
      </c>
      <c r="O56">
        <v>2.6182967315737998E-3</v>
      </c>
      <c r="P56">
        <v>6.2465313045928497E-3</v>
      </c>
      <c r="Q56">
        <v>3.6282345730190499E-3</v>
      </c>
    </row>
    <row r="57" spans="1:17" x14ac:dyDescent="0.5">
      <c r="A57" t="s">
        <v>18</v>
      </c>
      <c r="B57">
        <v>2000</v>
      </c>
      <c r="C57">
        <v>2005</v>
      </c>
      <c r="D57">
        <v>12</v>
      </c>
      <c r="E57">
        <v>12</v>
      </c>
      <c r="F57">
        <v>2.1521495655179002E-3</v>
      </c>
      <c r="G57">
        <v>8.3507870634395992E-3</v>
      </c>
      <c r="H57">
        <v>6.1986374979217003E-3</v>
      </c>
      <c r="I57">
        <v>5.8278909651562003E-2</v>
      </c>
      <c r="J57">
        <v>4.8565758042968298E-3</v>
      </c>
      <c r="K57">
        <v>4.69387214009955E-3</v>
      </c>
      <c r="L57">
        <v>2.1217809353000802E-3</v>
      </c>
      <c r="M57">
        <v>2.1521495655179002E-3</v>
      </c>
      <c r="N57">
        <v>2.1521495655179002E-3</v>
      </c>
      <c r="O57">
        <v>3.0474255715185498E-3</v>
      </c>
      <c r="P57">
        <v>6.9067568207780003E-3</v>
      </c>
      <c r="Q57">
        <v>3.85933124925945E-3</v>
      </c>
    </row>
    <row r="58" spans="1:17" x14ac:dyDescent="0.5">
      <c r="A58" t="s">
        <v>18</v>
      </c>
      <c r="B58">
        <v>2000</v>
      </c>
      <c r="C58">
        <v>2006</v>
      </c>
      <c r="D58">
        <v>12</v>
      </c>
      <c r="E58">
        <v>12</v>
      </c>
      <c r="F58">
        <v>1.5749051235615999E-3</v>
      </c>
      <c r="G58">
        <v>1.32117519776026E-2</v>
      </c>
      <c r="H58">
        <v>1.1636846854041E-2</v>
      </c>
      <c r="I58">
        <v>7.0820846362038906E-2</v>
      </c>
      <c r="J58">
        <v>5.9017371968365703E-3</v>
      </c>
      <c r="K58">
        <v>4.6725292534877498E-3</v>
      </c>
      <c r="L58">
        <v>3.6762454478869201E-3</v>
      </c>
      <c r="M58">
        <v>1.5749051235615999E-3</v>
      </c>
      <c r="N58">
        <v>1.5749051235615999E-3</v>
      </c>
      <c r="O58">
        <v>2.7239432480806501E-3</v>
      </c>
      <c r="P58">
        <v>8.6703154568870001E-3</v>
      </c>
      <c r="Q58">
        <v>5.9463722088063499E-3</v>
      </c>
    </row>
    <row r="59" spans="1:17" x14ac:dyDescent="0.5">
      <c r="A59" t="s">
        <v>18</v>
      </c>
      <c r="B59">
        <v>2000</v>
      </c>
      <c r="C59">
        <v>2007</v>
      </c>
      <c r="D59">
        <v>12</v>
      </c>
      <c r="E59">
        <v>12</v>
      </c>
      <c r="F59">
        <v>1.8664138236392999E-3</v>
      </c>
      <c r="G59">
        <v>1.09017159168919E-2</v>
      </c>
      <c r="H59">
        <v>9.0353020932526004E-3</v>
      </c>
      <c r="I59">
        <v>6.4728224611219798E-2</v>
      </c>
      <c r="J59">
        <v>5.3940187176016504E-3</v>
      </c>
      <c r="K59">
        <v>4.4284491644550998E-3</v>
      </c>
      <c r="L59">
        <v>3.1300900777823299E-3</v>
      </c>
      <c r="M59">
        <v>1.8664138236392999E-3</v>
      </c>
      <c r="N59">
        <v>1.8664138236392999E-3</v>
      </c>
      <c r="O59">
        <v>2.4868112717133998E-3</v>
      </c>
      <c r="P59">
        <v>7.5691267071912004E-3</v>
      </c>
      <c r="Q59">
        <v>5.0823154354778001E-3</v>
      </c>
    </row>
    <row r="60" spans="1:17" x14ac:dyDescent="0.5">
      <c r="A60" t="s">
        <v>18</v>
      </c>
      <c r="B60">
        <v>2000</v>
      </c>
      <c r="C60">
        <v>2008</v>
      </c>
      <c r="D60">
        <v>12</v>
      </c>
      <c r="E60">
        <v>12</v>
      </c>
      <c r="F60">
        <v>2.9274317591139998E-3</v>
      </c>
      <c r="G60">
        <v>1.0986231888333999E-2</v>
      </c>
      <c r="H60">
        <v>8.0588001292200007E-3</v>
      </c>
      <c r="I60">
        <v>7.7639710934211403E-2</v>
      </c>
      <c r="J60">
        <v>6.4699759111842801E-3</v>
      </c>
      <c r="K60">
        <v>6.2168442333738003E-3</v>
      </c>
      <c r="L60">
        <v>2.2975935522407298E-3</v>
      </c>
      <c r="M60">
        <v>2.9274317591139998E-3</v>
      </c>
      <c r="N60">
        <v>2.9274317591139998E-3</v>
      </c>
      <c r="O60">
        <v>4.4279325520619498E-3</v>
      </c>
      <c r="P60">
        <v>8.2511458701142997E-3</v>
      </c>
      <c r="Q60">
        <v>3.8232133180523499E-3</v>
      </c>
    </row>
    <row r="61" spans="1:17" x14ac:dyDescent="0.5">
      <c r="A61" t="s">
        <v>18</v>
      </c>
      <c r="B61">
        <v>2000</v>
      </c>
      <c r="C61">
        <v>2009</v>
      </c>
      <c r="D61">
        <v>12</v>
      </c>
      <c r="E61">
        <v>12</v>
      </c>
      <c r="F61">
        <v>1.3091905663409999E-3</v>
      </c>
      <c r="G61">
        <v>1.7192786559462499E-2</v>
      </c>
      <c r="H61">
        <v>1.5883595993121499E-2</v>
      </c>
      <c r="I61">
        <v>5.9690064440170297E-2</v>
      </c>
      <c r="J61">
        <v>4.9741720366808604E-3</v>
      </c>
      <c r="K61">
        <v>4.39865832837915E-3</v>
      </c>
      <c r="L61">
        <v>3.93354397081084E-3</v>
      </c>
      <c r="M61">
        <v>1.3091905663409999E-3</v>
      </c>
      <c r="N61">
        <v>1.3091905663409999E-3</v>
      </c>
      <c r="O61">
        <v>2.7415116007128999E-3</v>
      </c>
      <c r="P61">
        <v>5.3833858886112003E-3</v>
      </c>
      <c r="Q61">
        <v>2.6418742878983E-3</v>
      </c>
    </row>
    <row r="62" spans="1:17" x14ac:dyDescent="0.5">
      <c r="A62" t="s">
        <v>18</v>
      </c>
      <c r="B62">
        <v>2010</v>
      </c>
      <c r="C62">
        <v>2010</v>
      </c>
      <c r="D62">
        <v>12</v>
      </c>
      <c r="E62">
        <v>12</v>
      </c>
      <c r="F62">
        <v>1.3736518255124E-3</v>
      </c>
      <c r="G62">
        <v>1.31772343690197E-2</v>
      </c>
      <c r="H62">
        <v>1.18035825435073E-2</v>
      </c>
      <c r="I62">
        <v>7.9095512550944699E-2</v>
      </c>
      <c r="J62">
        <v>6.5912927125787203E-3</v>
      </c>
      <c r="K62">
        <v>6.6478755325078496E-3</v>
      </c>
      <c r="L62">
        <v>3.3848249247197598E-3</v>
      </c>
      <c r="M62">
        <v>1.3736518255124E-3</v>
      </c>
      <c r="N62">
        <v>1.3736518255124E-3</v>
      </c>
      <c r="O62">
        <v>3.5082757240160502E-3</v>
      </c>
      <c r="P62">
        <v>9.3752499669790008E-3</v>
      </c>
      <c r="Q62">
        <v>5.8669742429629497E-3</v>
      </c>
    </row>
    <row r="63" spans="1:17" x14ac:dyDescent="0.5">
      <c r="A63" t="s">
        <v>18</v>
      </c>
      <c r="B63">
        <v>2010</v>
      </c>
      <c r="C63">
        <v>2011</v>
      </c>
      <c r="D63">
        <v>12</v>
      </c>
      <c r="E63">
        <v>12</v>
      </c>
      <c r="F63">
        <v>2.8615734384705E-3</v>
      </c>
      <c r="G63">
        <v>1.4208631279567899E-2</v>
      </c>
      <c r="H63">
        <v>1.1347057841097401E-2</v>
      </c>
      <c r="I63">
        <v>9.1886117821558796E-2</v>
      </c>
      <c r="J63">
        <v>7.6571764851298997E-3</v>
      </c>
      <c r="K63">
        <v>8.8625955395400004E-3</v>
      </c>
      <c r="L63">
        <v>3.7793714209184001E-3</v>
      </c>
      <c r="M63">
        <v>2.8615734384705E-3</v>
      </c>
      <c r="N63">
        <v>2.8615734384705E-3</v>
      </c>
      <c r="O63">
        <v>3.8364785723388E-3</v>
      </c>
      <c r="P63">
        <v>9.48739812398945E-3</v>
      </c>
      <c r="Q63">
        <v>5.6509195516506504E-3</v>
      </c>
    </row>
    <row r="64" spans="1:17" x14ac:dyDescent="0.5">
      <c r="A64" t="s">
        <v>18</v>
      </c>
      <c r="B64">
        <v>2010</v>
      </c>
      <c r="C64">
        <v>2012</v>
      </c>
      <c r="D64">
        <v>12</v>
      </c>
      <c r="E64">
        <v>12</v>
      </c>
      <c r="F64">
        <v>1.6123752575367E-3</v>
      </c>
      <c r="G64">
        <v>1.12220110992591E-2</v>
      </c>
      <c r="H64">
        <v>9.6096358417224002E-3</v>
      </c>
      <c r="I64">
        <v>6.2001165313024797E-2</v>
      </c>
      <c r="J64">
        <v>5.1667637760854004E-3</v>
      </c>
      <c r="K64">
        <v>4.8003296833485001E-3</v>
      </c>
      <c r="L64">
        <v>3.06914644351669E-3</v>
      </c>
      <c r="M64">
        <v>1.6123752575367E-3</v>
      </c>
      <c r="N64">
        <v>1.6123752575367E-3</v>
      </c>
      <c r="O64">
        <v>2.5562019242594001E-3</v>
      </c>
      <c r="P64">
        <v>6.5692487017561503E-3</v>
      </c>
      <c r="Q64">
        <v>4.0130467774967503E-3</v>
      </c>
    </row>
    <row r="65" spans="1:17" x14ac:dyDescent="0.5">
      <c r="A65" t="s">
        <v>18</v>
      </c>
      <c r="B65">
        <v>2010</v>
      </c>
      <c r="C65">
        <v>2013</v>
      </c>
      <c r="D65">
        <v>12</v>
      </c>
      <c r="E65">
        <v>12</v>
      </c>
      <c r="F65">
        <v>1.6622435456762001E-3</v>
      </c>
      <c r="G65">
        <v>1.0255187128981E-2</v>
      </c>
      <c r="H65">
        <v>8.5929435833048008E-3</v>
      </c>
      <c r="I65">
        <v>6.1540806898846702E-2</v>
      </c>
      <c r="J65">
        <v>5.1284005749038901E-3</v>
      </c>
      <c r="K65">
        <v>4.6604564413428003E-3</v>
      </c>
      <c r="L65">
        <v>2.8938360846686799E-3</v>
      </c>
      <c r="M65">
        <v>1.6622435456762001E-3</v>
      </c>
      <c r="N65">
        <v>1.6622435456762001E-3</v>
      </c>
      <c r="O65">
        <v>2.2685943404212E-3</v>
      </c>
      <c r="P65">
        <v>7.2789173573255001E-3</v>
      </c>
      <c r="Q65">
        <v>5.0103230169042997E-3</v>
      </c>
    </row>
    <row r="66" spans="1:17" x14ac:dyDescent="0.5">
      <c r="A66" t="s">
        <v>18</v>
      </c>
      <c r="B66">
        <v>2010</v>
      </c>
      <c r="C66">
        <v>2014</v>
      </c>
      <c r="D66">
        <v>12</v>
      </c>
      <c r="E66">
        <v>12</v>
      </c>
      <c r="F66">
        <v>1.4593730835864001E-3</v>
      </c>
      <c r="G66">
        <v>6.5173112476865002E-3</v>
      </c>
      <c r="H66">
        <v>5.0579381641001004E-3</v>
      </c>
      <c r="I66">
        <v>5.5745852490265403E-2</v>
      </c>
      <c r="J66">
        <v>4.6454877075221201E-3</v>
      </c>
      <c r="K66">
        <v>5.0776956292489499E-3</v>
      </c>
      <c r="L66">
        <v>1.84282639519531E-3</v>
      </c>
      <c r="M66">
        <v>1.4593730835864001E-3</v>
      </c>
      <c r="N66">
        <v>1.4593730835864001E-3</v>
      </c>
      <c r="O66">
        <v>3.1589535453046E-3</v>
      </c>
      <c r="P66">
        <v>6.3460834013918501E-3</v>
      </c>
      <c r="Q66">
        <v>3.1871298560872501E-3</v>
      </c>
    </row>
    <row r="67" spans="1:17" x14ac:dyDescent="0.5">
      <c r="A67" t="s">
        <v>18</v>
      </c>
      <c r="B67">
        <v>2010</v>
      </c>
      <c r="C67">
        <v>2015</v>
      </c>
      <c r="D67">
        <v>12</v>
      </c>
      <c r="E67">
        <v>12</v>
      </c>
      <c r="F67">
        <v>9.5491833053520003E-4</v>
      </c>
      <c r="G67">
        <v>7.4859516074260004E-3</v>
      </c>
      <c r="H67">
        <v>6.5310332768907997E-3</v>
      </c>
      <c r="I67">
        <v>4.2260334555369497E-2</v>
      </c>
      <c r="J67">
        <v>3.5216945462807898E-3</v>
      </c>
      <c r="K67">
        <v>2.5955580252532999E-3</v>
      </c>
      <c r="L67">
        <v>2.2238877687208898E-3</v>
      </c>
      <c r="M67">
        <v>9.5491833053520003E-4</v>
      </c>
      <c r="N67">
        <v>9.5491833053520003E-4</v>
      </c>
      <c r="O67">
        <v>1.9201080625255501E-3</v>
      </c>
      <c r="P67">
        <v>5.4852360238631E-3</v>
      </c>
      <c r="Q67">
        <v>3.5651279613375499E-3</v>
      </c>
    </row>
    <row r="68" spans="1:17" x14ac:dyDescent="0.5">
      <c r="A68" t="s">
        <v>18</v>
      </c>
      <c r="B68">
        <v>2010</v>
      </c>
      <c r="C68">
        <v>2016</v>
      </c>
      <c r="D68">
        <v>12</v>
      </c>
      <c r="E68">
        <v>12</v>
      </c>
      <c r="F68">
        <v>1.4697669539599999E-3</v>
      </c>
      <c r="G68">
        <v>1.33158384511868E-2</v>
      </c>
      <c r="H68">
        <v>1.1846071497226799E-2</v>
      </c>
      <c r="I68">
        <v>7.1308051158363098E-2</v>
      </c>
      <c r="J68">
        <v>5.9423375965302599E-3</v>
      </c>
      <c r="K68">
        <v>5.4864593160648496E-3</v>
      </c>
      <c r="L68">
        <v>3.5946272598507E-3</v>
      </c>
      <c r="M68">
        <v>1.4697669539599999E-3</v>
      </c>
      <c r="N68">
        <v>1.4697669539599999E-3</v>
      </c>
      <c r="O68">
        <v>2.8126621230815498E-3</v>
      </c>
      <c r="P68">
        <v>8.4933703765272504E-3</v>
      </c>
      <c r="Q68">
        <v>5.6807082534456998E-3</v>
      </c>
    </row>
    <row r="69" spans="1:17" x14ac:dyDescent="0.5">
      <c r="A69" t="s">
        <v>18</v>
      </c>
      <c r="B69">
        <v>2010</v>
      </c>
      <c r="C69">
        <v>2017</v>
      </c>
      <c r="D69">
        <v>12</v>
      </c>
      <c r="E69">
        <v>12</v>
      </c>
      <c r="F69">
        <v>2.9383942795296E-3</v>
      </c>
      <c r="G69">
        <v>1.5162352472543701E-2</v>
      </c>
      <c r="H69">
        <v>1.22239581930141E-2</v>
      </c>
      <c r="I69">
        <v>7.9479201231151306E-2</v>
      </c>
      <c r="J69">
        <v>6.6232667692626103E-3</v>
      </c>
      <c r="K69">
        <v>5.8567443241675501E-3</v>
      </c>
      <c r="L69">
        <v>3.4796354026603001E-3</v>
      </c>
      <c r="M69">
        <v>2.9383942795296E-3</v>
      </c>
      <c r="N69">
        <v>2.9383942795296E-3</v>
      </c>
      <c r="O69">
        <v>3.9776358753442504E-3</v>
      </c>
      <c r="P69">
        <v>7.4761891737579501E-3</v>
      </c>
      <c r="Q69">
        <v>3.4985532984137002E-3</v>
      </c>
    </row>
    <row r="70" spans="1:17" x14ac:dyDescent="0.5">
      <c r="A70" t="s">
        <v>18</v>
      </c>
      <c r="B70">
        <v>2010</v>
      </c>
      <c r="C70">
        <v>2018</v>
      </c>
      <c r="D70">
        <v>12</v>
      </c>
      <c r="E70">
        <v>12</v>
      </c>
      <c r="F70">
        <v>7.3113389468440005E-4</v>
      </c>
      <c r="G70">
        <v>1.0795211109022301E-2</v>
      </c>
      <c r="H70">
        <v>1.0064077214337899E-2</v>
      </c>
      <c r="I70">
        <v>6.8206749584835802E-2</v>
      </c>
      <c r="J70">
        <v>5.6838957987363197E-3</v>
      </c>
      <c r="K70">
        <v>5.6939901939282002E-3</v>
      </c>
      <c r="L70">
        <v>3.0655011143516501E-3</v>
      </c>
      <c r="M70">
        <v>7.3113389468440005E-4</v>
      </c>
      <c r="N70">
        <v>7.3113389468440005E-4</v>
      </c>
      <c r="O70">
        <v>2.7835591075320498E-3</v>
      </c>
      <c r="P70">
        <v>8.6116062787671508E-3</v>
      </c>
      <c r="Q70">
        <v>5.8280471712351001E-3</v>
      </c>
    </row>
    <row r="71" spans="1:17" x14ac:dyDescent="0.5">
      <c r="A71" t="s">
        <v>18</v>
      </c>
      <c r="B71">
        <v>2010</v>
      </c>
      <c r="C71">
        <v>2019</v>
      </c>
      <c r="D71">
        <v>12</v>
      </c>
      <c r="E71">
        <v>12</v>
      </c>
      <c r="F71">
        <v>2.0058112762246999E-3</v>
      </c>
      <c r="G71">
        <v>1.3825452576081001E-2</v>
      </c>
      <c r="H71">
        <v>1.18196412998563E-2</v>
      </c>
      <c r="I71">
        <v>7.6347543741575999E-2</v>
      </c>
      <c r="J71">
        <v>6.3622953117980002E-3</v>
      </c>
      <c r="K71">
        <v>4.6360848549131996E-3</v>
      </c>
      <c r="L71">
        <v>4.1586248521336099E-3</v>
      </c>
      <c r="M71">
        <v>2.0058112762246999E-3</v>
      </c>
      <c r="N71">
        <v>2.0058112762246999E-3</v>
      </c>
      <c r="O71">
        <v>3.0960194999351499E-3</v>
      </c>
      <c r="P71">
        <v>9.8535845366616998E-3</v>
      </c>
      <c r="Q71">
        <v>6.7575650367265499E-3</v>
      </c>
    </row>
    <row r="72" spans="1:17" x14ac:dyDescent="0.5">
      <c r="A72" t="s">
        <v>18</v>
      </c>
      <c r="B72">
        <v>2020</v>
      </c>
      <c r="C72">
        <v>2020</v>
      </c>
      <c r="D72">
        <v>12</v>
      </c>
      <c r="E72">
        <v>12</v>
      </c>
      <c r="F72">
        <v>2.9204676393419001E-3</v>
      </c>
      <c r="G72">
        <v>1.1100660699109199E-2</v>
      </c>
      <c r="H72">
        <v>8.1801930597672993E-3</v>
      </c>
      <c r="I72">
        <v>5.9467204846441198E-2</v>
      </c>
      <c r="J72">
        <v>4.9556004038700998E-3</v>
      </c>
      <c r="K72">
        <v>4.0642814710735997E-3</v>
      </c>
      <c r="L72">
        <v>2.4743427413427398E-3</v>
      </c>
      <c r="M72">
        <v>2.9204676393419001E-3</v>
      </c>
      <c r="N72">
        <v>2.9204676393419001E-3</v>
      </c>
      <c r="O72">
        <v>3.4415825890997502E-3</v>
      </c>
      <c r="P72">
        <v>5.1429734254876004E-3</v>
      </c>
      <c r="Q72">
        <v>1.7013908363878499E-3</v>
      </c>
    </row>
    <row r="73" spans="1:17" x14ac:dyDescent="0.5">
      <c r="A73" t="s">
        <v>18</v>
      </c>
      <c r="B73">
        <v>2020</v>
      </c>
      <c r="C73">
        <v>2021</v>
      </c>
      <c r="D73">
        <v>12</v>
      </c>
      <c r="E73">
        <v>12</v>
      </c>
      <c r="F73">
        <v>1.7102426694085E-3</v>
      </c>
      <c r="G73">
        <v>9.3384701758623002E-3</v>
      </c>
      <c r="H73">
        <v>7.6282275064538003E-3</v>
      </c>
      <c r="I73">
        <v>6.5473595866933104E-2</v>
      </c>
      <c r="J73">
        <v>5.45613298891109E-3</v>
      </c>
      <c r="K73">
        <v>5.1776148999730497E-3</v>
      </c>
      <c r="L73">
        <v>2.30186201410934E-3</v>
      </c>
      <c r="M73">
        <v>1.7102426694085E-3</v>
      </c>
      <c r="N73">
        <v>1.7102426694085E-3</v>
      </c>
      <c r="O73">
        <v>4.0228226765369E-3</v>
      </c>
      <c r="P73">
        <v>7.1785710752009999E-3</v>
      </c>
      <c r="Q73">
        <v>3.1557483986640999E-3</v>
      </c>
    </row>
    <row r="74" spans="1:17" x14ac:dyDescent="0.5">
      <c r="A74" t="s">
        <v>18</v>
      </c>
      <c r="B74">
        <v>2020</v>
      </c>
      <c r="C74">
        <v>2022</v>
      </c>
      <c r="D74">
        <v>12</v>
      </c>
      <c r="E74">
        <v>12</v>
      </c>
      <c r="F74">
        <v>1.9207613853115999E-3</v>
      </c>
      <c r="G74">
        <v>7.5772972777484997E-3</v>
      </c>
      <c r="H74">
        <v>5.6565358924369003E-3</v>
      </c>
      <c r="I74">
        <v>5.4682216063762099E-2</v>
      </c>
      <c r="J74">
        <v>4.5568513386468404E-3</v>
      </c>
      <c r="K74">
        <v>3.7432741373776999E-3</v>
      </c>
      <c r="L74">
        <v>2.1130222457978898E-3</v>
      </c>
      <c r="M74">
        <v>1.9207613853115999E-3</v>
      </c>
      <c r="N74">
        <v>1.9207613853115999E-3</v>
      </c>
      <c r="O74">
        <v>2.6563381155331502E-3</v>
      </c>
      <c r="P74">
        <v>6.8588076780238998E-3</v>
      </c>
      <c r="Q74">
        <v>4.2024695624907496E-3</v>
      </c>
    </row>
    <row r="75" spans="1:17" x14ac:dyDescent="0.5">
      <c r="A75" t="s">
        <v>18</v>
      </c>
      <c r="B75">
        <v>2020</v>
      </c>
      <c r="C75">
        <v>2023</v>
      </c>
      <c r="D75">
        <v>12</v>
      </c>
      <c r="E75">
        <v>12</v>
      </c>
      <c r="F75">
        <v>6.3396994179730005E-4</v>
      </c>
      <c r="G75">
        <v>4.5148433806994999E-3</v>
      </c>
      <c r="H75">
        <v>3.8808734389022001E-3</v>
      </c>
      <c r="I75">
        <v>2.32070741864536E-2</v>
      </c>
      <c r="J75">
        <v>1.9339228488711301E-3</v>
      </c>
      <c r="K75">
        <v>1.58630024331305E-3</v>
      </c>
      <c r="L75">
        <v>1.1335806935789099E-3</v>
      </c>
      <c r="M75">
        <v>6.3396994179730005E-4</v>
      </c>
      <c r="N75">
        <v>6.3396994179730005E-4</v>
      </c>
      <c r="O75">
        <v>1.0292724667427E-3</v>
      </c>
      <c r="P75">
        <v>2.7892192980895E-3</v>
      </c>
      <c r="Q75">
        <v>1.7599468313468001E-3</v>
      </c>
    </row>
    <row r="76" spans="1:17" x14ac:dyDescent="0.5">
      <c r="A76" t="s">
        <v>18</v>
      </c>
      <c r="B76">
        <v>2020</v>
      </c>
      <c r="C76">
        <v>2024</v>
      </c>
      <c r="D76">
        <v>12</v>
      </c>
      <c r="E76">
        <v>12</v>
      </c>
      <c r="F76">
        <v>4.6271279764669999E-4</v>
      </c>
      <c r="G76">
        <v>1.1225060559809199E-2</v>
      </c>
      <c r="H76">
        <v>1.07623477621625E-2</v>
      </c>
      <c r="I76">
        <v>5.5165753971474399E-2</v>
      </c>
      <c r="J76">
        <v>4.5971461642895298E-3</v>
      </c>
      <c r="K76">
        <v>3.7618727268029502E-3</v>
      </c>
      <c r="L76">
        <v>3.2128990976324498E-3</v>
      </c>
      <c r="M76">
        <v>4.6271279764669999E-4</v>
      </c>
      <c r="N76">
        <v>4.6271279764669999E-4</v>
      </c>
      <c r="O76">
        <v>2.2701737276898501E-3</v>
      </c>
      <c r="P76">
        <v>5.5368168589969499E-3</v>
      </c>
      <c r="Q76">
        <v>3.2666431313070998E-3</v>
      </c>
    </row>
    <row r="77" spans="1:17" x14ac:dyDescent="0.5">
      <c r="A77" t="s">
        <v>18</v>
      </c>
      <c r="B77">
        <v>2020</v>
      </c>
      <c r="C77">
        <v>2025</v>
      </c>
      <c r="D77">
        <v>12</v>
      </c>
      <c r="E77">
        <v>12</v>
      </c>
      <c r="F77">
        <v>2.9446214127043001E-3</v>
      </c>
      <c r="G77">
        <v>1.0821374754110999E-2</v>
      </c>
      <c r="H77">
        <v>7.8767533414067E-3</v>
      </c>
      <c r="I77">
        <v>7.3386708817754498E-2</v>
      </c>
      <c r="J77">
        <v>6.1155590681462096E-3</v>
      </c>
      <c r="K77">
        <v>5.7793941038349504E-3</v>
      </c>
      <c r="L77">
        <v>2.3935662992411399E-3</v>
      </c>
      <c r="M77">
        <v>2.9446214127043001E-3</v>
      </c>
      <c r="N77">
        <v>2.9446214127043001E-3</v>
      </c>
      <c r="O77">
        <v>4.2306485896308503E-3</v>
      </c>
      <c r="P77">
        <v>7.7471879000464497E-3</v>
      </c>
      <c r="Q77">
        <v>3.5165393104155999E-3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2026-07-03T18:56:44Z</dcterms:created>
  <dcterms:modified xsi:type="dcterms:W3CDTF">2026-07-07T14:49:33Z</dcterms:modified>
</cp:coreProperties>
</file>