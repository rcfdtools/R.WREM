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WREM\file\table\"/>
    </mc:Choice>
  </mc:AlternateContent>
  <xr:revisionPtr revIDLastSave="0" documentId="13_ncr:1_{00B437BD-7D26-47BB-AE04-F9FF84897BB9}" xr6:coauthVersionLast="47" xr6:coauthVersionMax="47" xr10:uidLastSave="{00000000-0000-0000-0000-000000000000}"/>
  <bookViews>
    <workbookView xWindow="-93" yWindow="-93" windowWidth="20666" windowHeight="12266" xr2:uid="{2255F479-0D41-4B39-BE5A-1B1436E09AAA}"/>
  </bookViews>
  <sheets>
    <sheet name="PTE LA VIRGEN   21208110 " sheetId="1" r:id="rId1"/>
    <sheet name="Metadata" sheetId="2" r:id="rId2"/>
    <sheet name="HEC-RA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24" i="1"/>
  <c r="C20" i="1"/>
  <c r="C21" i="1"/>
</calcChain>
</file>

<file path=xl/sharedStrings.xml><?xml version="1.0" encoding="utf-8"?>
<sst xmlns="http://schemas.openxmlformats.org/spreadsheetml/2006/main" count="67" uniqueCount="45">
  <si>
    <t>Date</t>
  </si>
  <si>
    <t>Cero Límnímetro (m)</t>
  </si>
  <si>
    <t>Jar. Izq.</t>
  </si>
  <si>
    <t>Jar Der.</t>
  </si>
  <si>
    <t>n Manning canal ppal</t>
  </si>
  <si>
    <t>n Manning bancas</t>
  </si>
  <si>
    <t>n Manning llanura</t>
  </si>
  <si>
    <t>CX (m)</t>
  </si>
  <si>
    <t>CY (m)</t>
  </si>
  <si>
    <t>Parametro</t>
  </si>
  <si>
    <t>Valor</t>
  </si>
  <si>
    <t>Q, caudal (m³/s)</t>
  </si>
  <si>
    <t>https://www.acueducto.com.co/wasap02/sih/inicio?opcion=verMapa&amp;inicio=index</t>
  </si>
  <si>
    <t>Metadata</t>
  </si>
  <si>
    <t>Level (m)</t>
  </si>
  <si>
    <t>s, pendiente (m/m)</t>
  </si>
  <si>
    <t>Cota Jarillón Izq. (m)</t>
  </si>
  <si>
    <t>Cota Jarillón Der. (m)</t>
  </si>
  <si>
    <t>Alto Jarillón Izq. (m)</t>
  </si>
  <si>
    <t>Alto Jarillón Der. (m)</t>
  </si>
  <si>
    <t>T, ancho corona (m)</t>
  </si>
  <si>
    <t>b, base canal (m)</t>
  </si>
  <si>
    <t>z1, Talud izquierdo (z:1)</t>
  </si>
  <si>
    <t>z2, Talud derecho (z:1)</t>
  </si>
  <si>
    <t>L, longitud canal (m)</t>
  </si>
  <si>
    <t>Estación</t>
  </si>
  <si>
    <t xml:space="preserve">PTE LA VIRGEN   21208110 </t>
  </si>
  <si>
    <t xml:space="preserve"> Time (hr)</t>
  </si>
  <si>
    <t>Step</t>
  </si>
  <si>
    <t>River</t>
  </si>
  <si>
    <t xml:space="preserve"> Reach</t>
  </si>
  <si>
    <t xml:space="preserve"> RS</t>
  </si>
  <si>
    <t xml:space="preserve"> Station</t>
  </si>
  <si>
    <t xml:space="preserve"> Elevation</t>
  </si>
  <si>
    <t>River1</t>
  </si>
  <si>
    <t xml:space="preserve"> Reach1</t>
  </si>
  <si>
    <t>HEC-RAS 1D/2D</t>
  </si>
  <si>
    <t>1D cross-section values</t>
  </si>
  <si>
    <t>Schematic X</t>
  </si>
  <si>
    <t xml:space="preserve"> Schematic Y</t>
  </si>
  <si>
    <t>1D river coordinates</t>
  </si>
  <si>
    <t>Distributed flow with a triangular unitary hydrograph (UH)</t>
  </si>
  <si>
    <t>Time to peak: 1.5 hr</t>
  </si>
  <si>
    <t xml:space="preserve"> Flow (m³/s, cms)</t>
  </si>
  <si>
    <t>s, pendiente crítica (m/m)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</si>
</sst>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1F1F1F"/>
      <name val="Segoe UI Light"/>
      <family val="2"/>
    </font>
    <font>
      <sz val="11"/>
      <color theme="1"/>
      <name val="Segoe UI Light"/>
      <family val="2"/>
    </font>
    <font>
      <sz val="11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vertical="top"/>
    </xf>
    <xf numFmtId="0" fontId="1" fillId="0" borderId="0" xfId="0" applyFont="1" applyAlignment="1">
      <alignment horizontal="center" vertical="top" wrapText="1" readingOrder="1"/>
    </xf>
    <xf numFmtId="0" fontId="2" fillId="0" borderId="0" xfId="0" applyFont="1" applyAlignment="1">
      <alignment horizontal="center" vertical="top" wrapText="1"/>
    </xf>
    <xf numFmtId="14" fontId="3" fillId="0" borderId="0" xfId="0" applyNumberFormat="1" applyFont="1" applyAlignment="1">
      <alignment horizontal="center" vertical="top" wrapText="1" readingOrder="1"/>
    </xf>
    <xf numFmtId="0" fontId="3" fillId="0" borderId="0" xfId="0" applyFont="1" applyAlignment="1">
      <alignment horizontal="center" vertical="top" wrapText="1" readingOrder="1"/>
    </xf>
    <xf numFmtId="0" fontId="2" fillId="0" borderId="3" xfId="0" applyFont="1" applyBorder="1" applyAlignment="1">
      <alignment horizontal="left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top"/>
    </xf>
    <xf numFmtId="0" fontId="3" fillId="0" borderId="4" xfId="0" applyFont="1" applyBorder="1" applyAlignment="1">
      <alignment horizontal="center" vertical="top" wrapText="1"/>
    </xf>
    <xf numFmtId="0" fontId="2" fillId="0" borderId="0" xfId="0" applyFont="1" applyAlignment="1">
      <alignment horizontal="left" vertical="top"/>
    </xf>
    <xf numFmtId="1" fontId="2" fillId="0" borderId="0" xfId="0" applyNumberFormat="1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1425859141315499E-2"/>
          <c:y val="9.654176856748159E-2"/>
          <c:w val="0.88340001683080305"/>
          <c:h val="0.6302101624327699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'PTE LA VIRGEN   21208110 '!$C$23</c:f>
              <c:strCache>
                <c:ptCount val="1"/>
                <c:pt idx="0">
                  <c:v>Level (m)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'PTE LA VIRGEN   21208110 '!$B$24:$B$84</c:f>
              <c:numCache>
                <c:formatCode>m/d/yyyy</c:formatCode>
                <c:ptCount val="61"/>
                <c:pt idx="0">
                  <c:v>46149</c:v>
                </c:pt>
                <c:pt idx="1">
                  <c:v>46150</c:v>
                </c:pt>
                <c:pt idx="2">
                  <c:v>46151</c:v>
                </c:pt>
                <c:pt idx="3">
                  <c:v>46152</c:v>
                </c:pt>
                <c:pt idx="4">
                  <c:v>46153</c:v>
                </c:pt>
                <c:pt idx="5">
                  <c:v>46154</c:v>
                </c:pt>
                <c:pt idx="6">
                  <c:v>46155</c:v>
                </c:pt>
                <c:pt idx="7">
                  <c:v>46156</c:v>
                </c:pt>
                <c:pt idx="8">
                  <c:v>46157</c:v>
                </c:pt>
                <c:pt idx="9">
                  <c:v>46158</c:v>
                </c:pt>
                <c:pt idx="10">
                  <c:v>46159</c:v>
                </c:pt>
                <c:pt idx="11">
                  <c:v>46160</c:v>
                </c:pt>
                <c:pt idx="12">
                  <c:v>46161</c:v>
                </c:pt>
                <c:pt idx="13">
                  <c:v>46162</c:v>
                </c:pt>
                <c:pt idx="14">
                  <c:v>46163</c:v>
                </c:pt>
                <c:pt idx="15">
                  <c:v>46164</c:v>
                </c:pt>
                <c:pt idx="16">
                  <c:v>46165</c:v>
                </c:pt>
                <c:pt idx="17">
                  <c:v>46166</c:v>
                </c:pt>
                <c:pt idx="18">
                  <c:v>46167</c:v>
                </c:pt>
                <c:pt idx="19">
                  <c:v>46168</c:v>
                </c:pt>
                <c:pt idx="20">
                  <c:v>46169</c:v>
                </c:pt>
                <c:pt idx="21">
                  <c:v>46170</c:v>
                </c:pt>
                <c:pt idx="22">
                  <c:v>46171</c:v>
                </c:pt>
                <c:pt idx="23">
                  <c:v>46172</c:v>
                </c:pt>
                <c:pt idx="24">
                  <c:v>46173</c:v>
                </c:pt>
                <c:pt idx="25">
                  <c:v>46174</c:v>
                </c:pt>
                <c:pt idx="26">
                  <c:v>46175</c:v>
                </c:pt>
                <c:pt idx="27">
                  <c:v>46176</c:v>
                </c:pt>
                <c:pt idx="28">
                  <c:v>46177</c:v>
                </c:pt>
                <c:pt idx="29">
                  <c:v>46178</c:v>
                </c:pt>
                <c:pt idx="30">
                  <c:v>46179</c:v>
                </c:pt>
                <c:pt idx="31">
                  <c:v>46180</c:v>
                </c:pt>
                <c:pt idx="32">
                  <c:v>46181</c:v>
                </c:pt>
                <c:pt idx="33">
                  <c:v>46182</c:v>
                </c:pt>
                <c:pt idx="34">
                  <c:v>46183</c:v>
                </c:pt>
                <c:pt idx="35">
                  <c:v>46184</c:v>
                </c:pt>
                <c:pt idx="36">
                  <c:v>46185</c:v>
                </c:pt>
                <c:pt idx="37">
                  <c:v>46186</c:v>
                </c:pt>
                <c:pt idx="38">
                  <c:v>46187</c:v>
                </c:pt>
                <c:pt idx="39">
                  <c:v>46188</c:v>
                </c:pt>
                <c:pt idx="40">
                  <c:v>46189</c:v>
                </c:pt>
                <c:pt idx="41">
                  <c:v>46190</c:v>
                </c:pt>
                <c:pt idx="42">
                  <c:v>46191</c:v>
                </c:pt>
                <c:pt idx="43">
                  <c:v>46192</c:v>
                </c:pt>
                <c:pt idx="44">
                  <c:v>46193</c:v>
                </c:pt>
                <c:pt idx="45">
                  <c:v>46194</c:v>
                </c:pt>
                <c:pt idx="46">
                  <c:v>46195</c:v>
                </c:pt>
                <c:pt idx="47">
                  <c:v>46196</c:v>
                </c:pt>
                <c:pt idx="48">
                  <c:v>46197</c:v>
                </c:pt>
                <c:pt idx="49">
                  <c:v>46198</c:v>
                </c:pt>
                <c:pt idx="50">
                  <c:v>46199</c:v>
                </c:pt>
                <c:pt idx="51">
                  <c:v>46200</c:v>
                </c:pt>
                <c:pt idx="52">
                  <c:v>46201</c:v>
                </c:pt>
                <c:pt idx="53">
                  <c:v>46202</c:v>
                </c:pt>
                <c:pt idx="54">
                  <c:v>46203</c:v>
                </c:pt>
                <c:pt idx="55">
                  <c:v>46204</c:v>
                </c:pt>
                <c:pt idx="56">
                  <c:v>46205</c:v>
                </c:pt>
                <c:pt idx="57">
                  <c:v>46206</c:v>
                </c:pt>
                <c:pt idx="58">
                  <c:v>46207</c:v>
                </c:pt>
                <c:pt idx="59">
                  <c:v>46208</c:v>
                </c:pt>
                <c:pt idx="60">
                  <c:v>46209</c:v>
                </c:pt>
              </c:numCache>
            </c:numRef>
          </c:xVal>
          <c:yVal>
            <c:numRef>
              <c:f>'PTE LA VIRGEN   21208110 '!$C$24:$C$84</c:f>
              <c:numCache>
                <c:formatCode>General</c:formatCode>
                <c:ptCount val="61"/>
                <c:pt idx="0">
                  <c:v>2541.5</c:v>
                </c:pt>
                <c:pt idx="1">
                  <c:v>2541.4</c:v>
                </c:pt>
                <c:pt idx="2">
                  <c:v>2541.1999999999998</c:v>
                </c:pt>
                <c:pt idx="3">
                  <c:v>2541.1</c:v>
                </c:pt>
                <c:pt idx="4">
                  <c:v>2541.1999999999998</c:v>
                </c:pt>
                <c:pt idx="5">
                  <c:v>2541.1</c:v>
                </c:pt>
                <c:pt idx="6">
                  <c:v>2541.3000000000002</c:v>
                </c:pt>
                <c:pt idx="7">
                  <c:v>2541.3000000000002</c:v>
                </c:pt>
                <c:pt idx="8">
                  <c:v>2541.4</c:v>
                </c:pt>
                <c:pt idx="9">
                  <c:v>2541.4</c:v>
                </c:pt>
                <c:pt idx="10">
                  <c:v>2541.3000000000002</c:v>
                </c:pt>
                <c:pt idx="11">
                  <c:v>2541.3000000000002</c:v>
                </c:pt>
                <c:pt idx="12">
                  <c:v>2541.3000000000002</c:v>
                </c:pt>
                <c:pt idx="13">
                  <c:v>2541.3000000000002</c:v>
                </c:pt>
                <c:pt idx="14">
                  <c:v>2541.1999999999998</c:v>
                </c:pt>
                <c:pt idx="15">
                  <c:v>2541.3000000000002</c:v>
                </c:pt>
                <c:pt idx="16">
                  <c:v>2541.3000000000002</c:v>
                </c:pt>
                <c:pt idx="17">
                  <c:v>2541.3000000000002</c:v>
                </c:pt>
                <c:pt idx="18">
                  <c:v>2541.4</c:v>
                </c:pt>
                <c:pt idx="19">
                  <c:v>2541.4</c:v>
                </c:pt>
                <c:pt idx="20">
                  <c:v>2541.5</c:v>
                </c:pt>
                <c:pt idx="21">
                  <c:v>2541.6</c:v>
                </c:pt>
                <c:pt idx="22">
                  <c:v>2541.8000000000002</c:v>
                </c:pt>
                <c:pt idx="23">
                  <c:v>2541.9</c:v>
                </c:pt>
                <c:pt idx="24">
                  <c:v>2541.9</c:v>
                </c:pt>
                <c:pt idx="25">
                  <c:v>2541.8000000000002</c:v>
                </c:pt>
                <c:pt idx="26">
                  <c:v>2541.6999999999998</c:v>
                </c:pt>
                <c:pt idx="27">
                  <c:v>2541.6</c:v>
                </c:pt>
                <c:pt idx="28">
                  <c:v>2541.5</c:v>
                </c:pt>
                <c:pt idx="29">
                  <c:v>2541.6</c:v>
                </c:pt>
                <c:pt idx="30">
                  <c:v>2541.6999999999998</c:v>
                </c:pt>
                <c:pt idx="31">
                  <c:v>2541.8000000000002</c:v>
                </c:pt>
                <c:pt idx="32">
                  <c:v>2542.1999999999998</c:v>
                </c:pt>
                <c:pt idx="33">
                  <c:v>2542.4</c:v>
                </c:pt>
                <c:pt idx="34">
                  <c:v>2542.4</c:v>
                </c:pt>
                <c:pt idx="35">
                  <c:v>2542.1999999999998</c:v>
                </c:pt>
                <c:pt idx="36">
                  <c:v>2542</c:v>
                </c:pt>
                <c:pt idx="37">
                  <c:v>2541.8000000000002</c:v>
                </c:pt>
                <c:pt idx="38">
                  <c:v>2541.6999999999998</c:v>
                </c:pt>
                <c:pt idx="39">
                  <c:v>2541.6</c:v>
                </c:pt>
                <c:pt idx="40">
                  <c:v>2541.5</c:v>
                </c:pt>
                <c:pt idx="41">
                  <c:v>2541.4</c:v>
                </c:pt>
                <c:pt idx="42">
                  <c:v>2541.4</c:v>
                </c:pt>
                <c:pt idx="43">
                  <c:v>2541.3000000000002</c:v>
                </c:pt>
                <c:pt idx="44">
                  <c:v>2541.3000000000002</c:v>
                </c:pt>
                <c:pt idx="45">
                  <c:v>2541.1999999999998</c:v>
                </c:pt>
                <c:pt idx="46">
                  <c:v>2541.1999999999998</c:v>
                </c:pt>
                <c:pt idx="47">
                  <c:v>2541.1</c:v>
                </c:pt>
                <c:pt idx="48">
                  <c:v>2541.1</c:v>
                </c:pt>
                <c:pt idx="49">
                  <c:v>2541.1</c:v>
                </c:pt>
                <c:pt idx="50">
                  <c:v>2541</c:v>
                </c:pt>
                <c:pt idx="51">
                  <c:v>2541</c:v>
                </c:pt>
                <c:pt idx="52">
                  <c:v>2541</c:v>
                </c:pt>
                <c:pt idx="53">
                  <c:v>2541</c:v>
                </c:pt>
                <c:pt idx="54">
                  <c:v>2541</c:v>
                </c:pt>
                <c:pt idx="55">
                  <c:v>2541.1999999999998</c:v>
                </c:pt>
                <c:pt idx="56">
                  <c:v>2541.5</c:v>
                </c:pt>
                <c:pt idx="57">
                  <c:v>2541.6</c:v>
                </c:pt>
                <c:pt idx="58">
                  <c:v>2541.6</c:v>
                </c:pt>
                <c:pt idx="59">
                  <c:v>2541.6999999999998</c:v>
                </c:pt>
                <c:pt idx="60">
                  <c:v>2541.9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CC-40DA-9993-6B7990C6522A}"/>
            </c:ext>
          </c:extLst>
        </c:ser>
        <c:ser>
          <c:idx val="1"/>
          <c:order val="1"/>
          <c:tx>
            <c:strRef>
              <c:f>'PTE LA VIRGEN   21208110 '!$D$23</c:f>
              <c:strCache>
                <c:ptCount val="1"/>
                <c:pt idx="0">
                  <c:v>Jar. Izq.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'PTE LA VIRGEN   21208110 '!$B$24:$B$84</c:f>
              <c:numCache>
                <c:formatCode>m/d/yyyy</c:formatCode>
                <c:ptCount val="61"/>
                <c:pt idx="0">
                  <c:v>46149</c:v>
                </c:pt>
                <c:pt idx="1">
                  <c:v>46150</c:v>
                </c:pt>
                <c:pt idx="2">
                  <c:v>46151</c:v>
                </c:pt>
                <c:pt idx="3">
                  <c:v>46152</c:v>
                </c:pt>
                <c:pt idx="4">
                  <c:v>46153</c:v>
                </c:pt>
                <c:pt idx="5">
                  <c:v>46154</c:v>
                </c:pt>
                <c:pt idx="6">
                  <c:v>46155</c:v>
                </c:pt>
                <c:pt idx="7">
                  <c:v>46156</c:v>
                </c:pt>
                <c:pt idx="8">
                  <c:v>46157</c:v>
                </c:pt>
                <c:pt idx="9">
                  <c:v>46158</c:v>
                </c:pt>
                <c:pt idx="10">
                  <c:v>46159</c:v>
                </c:pt>
                <c:pt idx="11">
                  <c:v>46160</c:v>
                </c:pt>
                <c:pt idx="12">
                  <c:v>46161</c:v>
                </c:pt>
                <c:pt idx="13">
                  <c:v>46162</c:v>
                </c:pt>
                <c:pt idx="14">
                  <c:v>46163</c:v>
                </c:pt>
                <c:pt idx="15">
                  <c:v>46164</c:v>
                </c:pt>
                <c:pt idx="16">
                  <c:v>46165</c:v>
                </c:pt>
                <c:pt idx="17">
                  <c:v>46166</c:v>
                </c:pt>
                <c:pt idx="18">
                  <c:v>46167</c:v>
                </c:pt>
                <c:pt idx="19">
                  <c:v>46168</c:v>
                </c:pt>
                <c:pt idx="20">
                  <c:v>46169</c:v>
                </c:pt>
                <c:pt idx="21">
                  <c:v>46170</c:v>
                </c:pt>
                <c:pt idx="22">
                  <c:v>46171</c:v>
                </c:pt>
                <c:pt idx="23">
                  <c:v>46172</c:v>
                </c:pt>
                <c:pt idx="24">
                  <c:v>46173</c:v>
                </c:pt>
                <c:pt idx="25">
                  <c:v>46174</c:v>
                </c:pt>
                <c:pt idx="26">
                  <c:v>46175</c:v>
                </c:pt>
                <c:pt idx="27">
                  <c:v>46176</c:v>
                </c:pt>
                <c:pt idx="28">
                  <c:v>46177</c:v>
                </c:pt>
                <c:pt idx="29">
                  <c:v>46178</c:v>
                </c:pt>
                <c:pt idx="30">
                  <c:v>46179</c:v>
                </c:pt>
                <c:pt idx="31">
                  <c:v>46180</c:v>
                </c:pt>
                <c:pt idx="32">
                  <c:v>46181</c:v>
                </c:pt>
                <c:pt idx="33">
                  <c:v>46182</c:v>
                </c:pt>
                <c:pt idx="34">
                  <c:v>46183</c:v>
                </c:pt>
                <c:pt idx="35">
                  <c:v>46184</c:v>
                </c:pt>
                <c:pt idx="36">
                  <c:v>46185</c:v>
                </c:pt>
                <c:pt idx="37">
                  <c:v>46186</c:v>
                </c:pt>
                <c:pt idx="38">
                  <c:v>46187</c:v>
                </c:pt>
                <c:pt idx="39">
                  <c:v>46188</c:v>
                </c:pt>
                <c:pt idx="40">
                  <c:v>46189</c:v>
                </c:pt>
                <c:pt idx="41">
                  <c:v>46190</c:v>
                </c:pt>
                <c:pt idx="42">
                  <c:v>46191</c:v>
                </c:pt>
                <c:pt idx="43">
                  <c:v>46192</c:v>
                </c:pt>
                <c:pt idx="44">
                  <c:v>46193</c:v>
                </c:pt>
                <c:pt idx="45">
                  <c:v>46194</c:v>
                </c:pt>
                <c:pt idx="46">
                  <c:v>46195</c:v>
                </c:pt>
                <c:pt idx="47">
                  <c:v>46196</c:v>
                </c:pt>
                <c:pt idx="48">
                  <c:v>46197</c:v>
                </c:pt>
                <c:pt idx="49">
                  <c:v>46198</c:v>
                </c:pt>
                <c:pt idx="50">
                  <c:v>46199</c:v>
                </c:pt>
                <c:pt idx="51">
                  <c:v>46200</c:v>
                </c:pt>
                <c:pt idx="52">
                  <c:v>46201</c:v>
                </c:pt>
                <c:pt idx="53">
                  <c:v>46202</c:v>
                </c:pt>
                <c:pt idx="54">
                  <c:v>46203</c:v>
                </c:pt>
                <c:pt idx="55">
                  <c:v>46204</c:v>
                </c:pt>
                <c:pt idx="56">
                  <c:v>46205</c:v>
                </c:pt>
                <c:pt idx="57">
                  <c:v>46206</c:v>
                </c:pt>
                <c:pt idx="58">
                  <c:v>46207</c:v>
                </c:pt>
                <c:pt idx="59">
                  <c:v>46208</c:v>
                </c:pt>
                <c:pt idx="60">
                  <c:v>46209</c:v>
                </c:pt>
              </c:numCache>
            </c:numRef>
          </c:xVal>
          <c:yVal>
            <c:numRef>
              <c:f>'PTE LA VIRGEN   21208110 '!$D$24:$D$84</c:f>
              <c:numCache>
                <c:formatCode>General</c:formatCode>
                <c:ptCount val="61"/>
                <c:pt idx="0">
                  <c:v>2545.71</c:v>
                </c:pt>
                <c:pt idx="1">
                  <c:v>2545.71</c:v>
                </c:pt>
                <c:pt idx="2">
                  <c:v>2545.71</c:v>
                </c:pt>
                <c:pt idx="3">
                  <c:v>2545.71</c:v>
                </c:pt>
                <c:pt idx="4">
                  <c:v>2545.71</c:v>
                </c:pt>
                <c:pt idx="5">
                  <c:v>2545.71</c:v>
                </c:pt>
                <c:pt idx="6">
                  <c:v>2545.71</c:v>
                </c:pt>
                <c:pt idx="7">
                  <c:v>2545.71</c:v>
                </c:pt>
                <c:pt idx="8">
                  <c:v>2545.71</c:v>
                </c:pt>
                <c:pt idx="9">
                  <c:v>2545.71</c:v>
                </c:pt>
                <c:pt idx="10">
                  <c:v>2545.71</c:v>
                </c:pt>
                <c:pt idx="11">
                  <c:v>2545.71</c:v>
                </c:pt>
                <c:pt idx="12">
                  <c:v>2545.71</c:v>
                </c:pt>
                <c:pt idx="13">
                  <c:v>2545.71</c:v>
                </c:pt>
                <c:pt idx="14">
                  <c:v>2545.71</c:v>
                </c:pt>
                <c:pt idx="15">
                  <c:v>2545.71</c:v>
                </c:pt>
                <c:pt idx="16">
                  <c:v>2545.71</c:v>
                </c:pt>
                <c:pt idx="17">
                  <c:v>2545.71</c:v>
                </c:pt>
                <c:pt idx="18">
                  <c:v>2545.71</c:v>
                </c:pt>
                <c:pt idx="19">
                  <c:v>2545.71</c:v>
                </c:pt>
                <c:pt idx="20">
                  <c:v>2545.71</c:v>
                </c:pt>
                <c:pt idx="21">
                  <c:v>2545.71</c:v>
                </c:pt>
                <c:pt idx="22">
                  <c:v>2545.71</c:v>
                </c:pt>
                <c:pt idx="23">
                  <c:v>2545.71</c:v>
                </c:pt>
                <c:pt idx="24">
                  <c:v>2545.71</c:v>
                </c:pt>
                <c:pt idx="25">
                  <c:v>2545.71</c:v>
                </c:pt>
                <c:pt idx="26">
                  <c:v>2545.71</c:v>
                </c:pt>
                <c:pt idx="27">
                  <c:v>2545.71</c:v>
                </c:pt>
                <c:pt idx="28">
                  <c:v>2545.71</c:v>
                </c:pt>
                <c:pt idx="29">
                  <c:v>2545.71</c:v>
                </c:pt>
                <c:pt idx="30">
                  <c:v>2545.71</c:v>
                </c:pt>
                <c:pt idx="31">
                  <c:v>2545.71</c:v>
                </c:pt>
                <c:pt idx="32">
                  <c:v>2545.71</c:v>
                </c:pt>
                <c:pt idx="33">
                  <c:v>2545.71</c:v>
                </c:pt>
                <c:pt idx="34">
                  <c:v>2545.71</c:v>
                </c:pt>
                <c:pt idx="35">
                  <c:v>2545.71</c:v>
                </c:pt>
                <c:pt idx="36">
                  <c:v>2545.71</c:v>
                </c:pt>
                <c:pt idx="37">
                  <c:v>2545.71</c:v>
                </c:pt>
                <c:pt idx="38">
                  <c:v>2545.71</c:v>
                </c:pt>
                <c:pt idx="39">
                  <c:v>2545.71</c:v>
                </c:pt>
                <c:pt idx="40">
                  <c:v>2545.71</c:v>
                </c:pt>
                <c:pt idx="41">
                  <c:v>2545.71</c:v>
                </c:pt>
                <c:pt idx="42">
                  <c:v>2545.71</c:v>
                </c:pt>
                <c:pt idx="43">
                  <c:v>2545.71</c:v>
                </c:pt>
                <c:pt idx="44">
                  <c:v>2545.71</c:v>
                </c:pt>
                <c:pt idx="45">
                  <c:v>2545.71</c:v>
                </c:pt>
                <c:pt idx="46">
                  <c:v>2545.71</c:v>
                </c:pt>
                <c:pt idx="47">
                  <c:v>2545.71</c:v>
                </c:pt>
                <c:pt idx="48">
                  <c:v>2545.71</c:v>
                </c:pt>
                <c:pt idx="49">
                  <c:v>2545.71</c:v>
                </c:pt>
                <c:pt idx="50">
                  <c:v>2545.71</c:v>
                </c:pt>
                <c:pt idx="51">
                  <c:v>2545.71</c:v>
                </c:pt>
                <c:pt idx="52">
                  <c:v>2545.71</c:v>
                </c:pt>
                <c:pt idx="53">
                  <c:v>2545.71</c:v>
                </c:pt>
                <c:pt idx="54">
                  <c:v>2545.71</c:v>
                </c:pt>
                <c:pt idx="55">
                  <c:v>2545.71</c:v>
                </c:pt>
                <c:pt idx="56">
                  <c:v>2545.71</c:v>
                </c:pt>
                <c:pt idx="57">
                  <c:v>2545.71</c:v>
                </c:pt>
                <c:pt idx="58">
                  <c:v>2545.71</c:v>
                </c:pt>
                <c:pt idx="59">
                  <c:v>2545.71</c:v>
                </c:pt>
                <c:pt idx="60">
                  <c:v>2545.71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3CC-40DA-9993-6B7990C6522A}"/>
            </c:ext>
          </c:extLst>
        </c:ser>
        <c:ser>
          <c:idx val="2"/>
          <c:order val="2"/>
          <c:tx>
            <c:strRef>
              <c:f>'PTE LA VIRGEN   21208110 '!$E$23</c:f>
              <c:strCache>
                <c:ptCount val="1"/>
                <c:pt idx="0">
                  <c:v>Jar Der.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'PTE LA VIRGEN   21208110 '!$B$24:$B$84</c:f>
              <c:numCache>
                <c:formatCode>m/d/yyyy</c:formatCode>
                <c:ptCount val="61"/>
                <c:pt idx="0">
                  <c:v>46149</c:v>
                </c:pt>
                <c:pt idx="1">
                  <c:v>46150</c:v>
                </c:pt>
                <c:pt idx="2">
                  <c:v>46151</c:v>
                </c:pt>
                <c:pt idx="3">
                  <c:v>46152</c:v>
                </c:pt>
                <c:pt idx="4">
                  <c:v>46153</c:v>
                </c:pt>
                <c:pt idx="5">
                  <c:v>46154</c:v>
                </c:pt>
                <c:pt idx="6">
                  <c:v>46155</c:v>
                </c:pt>
                <c:pt idx="7">
                  <c:v>46156</c:v>
                </c:pt>
                <c:pt idx="8">
                  <c:v>46157</c:v>
                </c:pt>
                <c:pt idx="9">
                  <c:v>46158</c:v>
                </c:pt>
                <c:pt idx="10">
                  <c:v>46159</c:v>
                </c:pt>
                <c:pt idx="11">
                  <c:v>46160</c:v>
                </c:pt>
                <c:pt idx="12">
                  <c:v>46161</c:v>
                </c:pt>
                <c:pt idx="13">
                  <c:v>46162</c:v>
                </c:pt>
                <c:pt idx="14">
                  <c:v>46163</c:v>
                </c:pt>
                <c:pt idx="15">
                  <c:v>46164</c:v>
                </c:pt>
                <c:pt idx="16">
                  <c:v>46165</c:v>
                </c:pt>
                <c:pt idx="17">
                  <c:v>46166</c:v>
                </c:pt>
                <c:pt idx="18">
                  <c:v>46167</c:v>
                </c:pt>
                <c:pt idx="19">
                  <c:v>46168</c:v>
                </c:pt>
                <c:pt idx="20">
                  <c:v>46169</c:v>
                </c:pt>
                <c:pt idx="21">
                  <c:v>46170</c:v>
                </c:pt>
                <c:pt idx="22">
                  <c:v>46171</c:v>
                </c:pt>
                <c:pt idx="23">
                  <c:v>46172</c:v>
                </c:pt>
                <c:pt idx="24">
                  <c:v>46173</c:v>
                </c:pt>
                <c:pt idx="25">
                  <c:v>46174</c:v>
                </c:pt>
                <c:pt idx="26">
                  <c:v>46175</c:v>
                </c:pt>
                <c:pt idx="27">
                  <c:v>46176</c:v>
                </c:pt>
                <c:pt idx="28">
                  <c:v>46177</c:v>
                </c:pt>
                <c:pt idx="29">
                  <c:v>46178</c:v>
                </c:pt>
                <c:pt idx="30">
                  <c:v>46179</c:v>
                </c:pt>
                <c:pt idx="31">
                  <c:v>46180</c:v>
                </c:pt>
                <c:pt idx="32">
                  <c:v>46181</c:v>
                </c:pt>
                <c:pt idx="33">
                  <c:v>46182</c:v>
                </c:pt>
                <c:pt idx="34">
                  <c:v>46183</c:v>
                </c:pt>
                <c:pt idx="35">
                  <c:v>46184</c:v>
                </c:pt>
                <c:pt idx="36">
                  <c:v>46185</c:v>
                </c:pt>
                <c:pt idx="37">
                  <c:v>46186</c:v>
                </c:pt>
                <c:pt idx="38">
                  <c:v>46187</c:v>
                </c:pt>
                <c:pt idx="39">
                  <c:v>46188</c:v>
                </c:pt>
                <c:pt idx="40">
                  <c:v>46189</c:v>
                </c:pt>
                <c:pt idx="41">
                  <c:v>46190</c:v>
                </c:pt>
                <c:pt idx="42">
                  <c:v>46191</c:v>
                </c:pt>
                <c:pt idx="43">
                  <c:v>46192</c:v>
                </c:pt>
                <c:pt idx="44">
                  <c:v>46193</c:v>
                </c:pt>
                <c:pt idx="45">
                  <c:v>46194</c:v>
                </c:pt>
                <c:pt idx="46">
                  <c:v>46195</c:v>
                </c:pt>
                <c:pt idx="47">
                  <c:v>46196</c:v>
                </c:pt>
                <c:pt idx="48">
                  <c:v>46197</c:v>
                </c:pt>
                <c:pt idx="49">
                  <c:v>46198</c:v>
                </c:pt>
                <c:pt idx="50">
                  <c:v>46199</c:v>
                </c:pt>
                <c:pt idx="51">
                  <c:v>46200</c:v>
                </c:pt>
                <c:pt idx="52">
                  <c:v>46201</c:v>
                </c:pt>
                <c:pt idx="53">
                  <c:v>46202</c:v>
                </c:pt>
                <c:pt idx="54">
                  <c:v>46203</c:v>
                </c:pt>
                <c:pt idx="55">
                  <c:v>46204</c:v>
                </c:pt>
                <c:pt idx="56">
                  <c:v>46205</c:v>
                </c:pt>
                <c:pt idx="57">
                  <c:v>46206</c:v>
                </c:pt>
                <c:pt idx="58">
                  <c:v>46207</c:v>
                </c:pt>
                <c:pt idx="59">
                  <c:v>46208</c:v>
                </c:pt>
                <c:pt idx="60">
                  <c:v>46209</c:v>
                </c:pt>
              </c:numCache>
            </c:numRef>
          </c:xVal>
          <c:yVal>
            <c:numRef>
              <c:f>'PTE LA VIRGEN   21208110 '!$E$24:$E$84</c:f>
              <c:numCache>
                <c:formatCode>General</c:formatCode>
                <c:ptCount val="61"/>
                <c:pt idx="0">
                  <c:v>2546.77</c:v>
                </c:pt>
                <c:pt idx="1">
                  <c:v>2546.77</c:v>
                </c:pt>
                <c:pt idx="2">
                  <c:v>2546.77</c:v>
                </c:pt>
                <c:pt idx="3">
                  <c:v>2546.77</c:v>
                </c:pt>
                <c:pt idx="4">
                  <c:v>2546.77</c:v>
                </c:pt>
                <c:pt idx="5">
                  <c:v>2546.77</c:v>
                </c:pt>
                <c:pt idx="6">
                  <c:v>2546.77</c:v>
                </c:pt>
                <c:pt idx="7">
                  <c:v>2546.77</c:v>
                </c:pt>
                <c:pt idx="8">
                  <c:v>2546.77</c:v>
                </c:pt>
                <c:pt idx="9">
                  <c:v>2546.77</c:v>
                </c:pt>
                <c:pt idx="10">
                  <c:v>2546.77</c:v>
                </c:pt>
                <c:pt idx="11">
                  <c:v>2546.77</c:v>
                </c:pt>
                <c:pt idx="12">
                  <c:v>2546.77</c:v>
                </c:pt>
                <c:pt idx="13">
                  <c:v>2546.77</c:v>
                </c:pt>
                <c:pt idx="14">
                  <c:v>2546.77</c:v>
                </c:pt>
                <c:pt idx="15">
                  <c:v>2546.77</c:v>
                </c:pt>
                <c:pt idx="16">
                  <c:v>2546.77</c:v>
                </c:pt>
                <c:pt idx="17">
                  <c:v>2546.77</c:v>
                </c:pt>
                <c:pt idx="18">
                  <c:v>2546.77</c:v>
                </c:pt>
                <c:pt idx="19">
                  <c:v>2546.77</c:v>
                </c:pt>
                <c:pt idx="20">
                  <c:v>2546.77</c:v>
                </c:pt>
                <c:pt idx="21">
                  <c:v>2546.77</c:v>
                </c:pt>
                <c:pt idx="22">
                  <c:v>2546.77</c:v>
                </c:pt>
                <c:pt idx="23">
                  <c:v>2546.77</c:v>
                </c:pt>
                <c:pt idx="24">
                  <c:v>2546.77</c:v>
                </c:pt>
                <c:pt idx="25">
                  <c:v>2546.77</c:v>
                </c:pt>
                <c:pt idx="26">
                  <c:v>2546.77</c:v>
                </c:pt>
                <c:pt idx="27">
                  <c:v>2546.77</c:v>
                </c:pt>
                <c:pt idx="28">
                  <c:v>2546.77</c:v>
                </c:pt>
                <c:pt idx="29">
                  <c:v>2546.77</c:v>
                </c:pt>
                <c:pt idx="30">
                  <c:v>2546.77</c:v>
                </c:pt>
                <c:pt idx="31">
                  <c:v>2546.77</c:v>
                </c:pt>
                <c:pt idx="32">
                  <c:v>2546.77</c:v>
                </c:pt>
                <c:pt idx="33">
                  <c:v>2546.77</c:v>
                </c:pt>
                <c:pt idx="34">
                  <c:v>2546.77</c:v>
                </c:pt>
                <c:pt idx="35">
                  <c:v>2546.77</c:v>
                </c:pt>
                <c:pt idx="36">
                  <c:v>2546.77</c:v>
                </c:pt>
                <c:pt idx="37">
                  <c:v>2546.77</c:v>
                </c:pt>
                <c:pt idx="38">
                  <c:v>2546.77</c:v>
                </c:pt>
                <c:pt idx="39">
                  <c:v>2546.77</c:v>
                </c:pt>
                <c:pt idx="40">
                  <c:v>2546.77</c:v>
                </c:pt>
                <c:pt idx="41">
                  <c:v>2546.77</c:v>
                </c:pt>
                <c:pt idx="42">
                  <c:v>2546.77</c:v>
                </c:pt>
                <c:pt idx="43">
                  <c:v>2546.77</c:v>
                </c:pt>
                <c:pt idx="44">
                  <c:v>2546.77</c:v>
                </c:pt>
                <c:pt idx="45">
                  <c:v>2546.77</c:v>
                </c:pt>
                <c:pt idx="46">
                  <c:v>2546.77</c:v>
                </c:pt>
                <c:pt idx="47">
                  <c:v>2546.77</c:v>
                </c:pt>
                <c:pt idx="48">
                  <c:v>2546.77</c:v>
                </c:pt>
                <c:pt idx="49">
                  <c:v>2546.77</c:v>
                </c:pt>
                <c:pt idx="50">
                  <c:v>2546.77</c:v>
                </c:pt>
                <c:pt idx="51">
                  <c:v>2546.77</c:v>
                </c:pt>
                <c:pt idx="52">
                  <c:v>2546.77</c:v>
                </c:pt>
                <c:pt idx="53">
                  <c:v>2546.77</c:v>
                </c:pt>
                <c:pt idx="54">
                  <c:v>2546.77</c:v>
                </c:pt>
                <c:pt idx="55">
                  <c:v>2546.77</c:v>
                </c:pt>
                <c:pt idx="56">
                  <c:v>2546.77</c:v>
                </c:pt>
                <c:pt idx="57">
                  <c:v>2546.77</c:v>
                </c:pt>
                <c:pt idx="58">
                  <c:v>2546.77</c:v>
                </c:pt>
                <c:pt idx="59">
                  <c:v>2546.77</c:v>
                </c:pt>
                <c:pt idx="60">
                  <c:v>2546.77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3CC-40DA-9993-6B7990C65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0725488"/>
        <c:axId val="1794302224"/>
      </c:scatterChart>
      <c:valAx>
        <c:axId val="1680725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n-US"/>
          </a:p>
        </c:txPr>
        <c:crossAx val="1794302224"/>
        <c:crosses val="autoZero"/>
        <c:crossBetween val="midCat"/>
        <c:majorUnit val="2"/>
        <c:minorUnit val="2"/>
      </c:valAx>
      <c:valAx>
        <c:axId val="179430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n-US"/>
          </a:p>
        </c:txPr>
        <c:crossAx val="1680725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Segoe UI Light" panose="020B0502040204020203" pitchFamily="34" charset="0"/>
          <a:cs typeface="Segoe UI Light" panose="020B0502040204020203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132889</xdr:colOff>
      <xdr:row>0</xdr:row>
      <xdr:rowOff>189396</xdr:rowOff>
    </xdr:from>
    <xdr:to>
      <xdr:col>11</xdr:col>
      <xdr:colOff>402168</xdr:colOff>
      <xdr:row>20</xdr:row>
      <xdr:rowOff>16934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54953E-1045-9F71-F728-C6398245F4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44144-91FE-4A53-945E-2FBA9C929155}">
  <dimension ref="B2:E84"/>
  <sheetViews>
    <sheetView showGridLines="0" tabSelected="1" zoomScale="115" zoomScaleNormal="115" workbookViewId="0">
      <pane ySplit="21" topLeftCell="A22" activePane="bottomLeft" state="frozen"/>
      <selection pane="bottomLeft" activeCell="C14" sqref="C14"/>
    </sheetView>
  </sheetViews>
  <sheetFormatPr defaultRowHeight="16.350000000000001" x14ac:dyDescent="0.5"/>
  <cols>
    <col min="1" max="1" width="2.64453125" style="3" customWidth="1"/>
    <col min="2" max="2" width="22.703125" style="2" customWidth="1"/>
    <col min="3" max="3" width="13.87890625" style="2" customWidth="1"/>
    <col min="4" max="5" width="11.234375" style="2" customWidth="1"/>
    <col min="6" max="16384" width="8.9375" style="3"/>
  </cols>
  <sheetData>
    <row r="2" spans="2:3" x14ac:dyDescent="0.5">
      <c r="B2" s="14" t="s">
        <v>9</v>
      </c>
      <c r="C2" s="15" t="s">
        <v>10</v>
      </c>
    </row>
    <row r="3" spans="2:3" ht="32.700000000000003" x14ac:dyDescent="0.5">
      <c r="B3" s="8" t="s">
        <v>25</v>
      </c>
      <c r="C3" s="16" t="s">
        <v>26</v>
      </c>
    </row>
    <row r="4" spans="2:3" x14ac:dyDescent="0.5">
      <c r="B4" s="8" t="s">
        <v>11</v>
      </c>
      <c r="C4" s="11">
        <v>140</v>
      </c>
    </row>
    <row r="5" spans="2:3" x14ac:dyDescent="0.5">
      <c r="B5" s="8" t="s">
        <v>24</v>
      </c>
      <c r="C5" s="11">
        <v>1000</v>
      </c>
    </row>
    <row r="6" spans="2:3" x14ac:dyDescent="0.5">
      <c r="B6" s="10" t="s">
        <v>20</v>
      </c>
      <c r="C6" s="11">
        <v>50</v>
      </c>
    </row>
    <row r="7" spans="2:3" x14ac:dyDescent="0.5">
      <c r="B7" s="10" t="s">
        <v>21</v>
      </c>
      <c r="C7" s="11">
        <v>26</v>
      </c>
    </row>
    <row r="8" spans="2:3" x14ac:dyDescent="0.5">
      <c r="B8" s="10" t="s">
        <v>22</v>
      </c>
      <c r="C8" s="11">
        <v>2</v>
      </c>
    </row>
    <row r="9" spans="2:3" x14ac:dyDescent="0.5">
      <c r="B9" s="10" t="s">
        <v>23</v>
      </c>
      <c r="C9" s="11">
        <v>2</v>
      </c>
    </row>
    <row r="10" spans="2:3" x14ac:dyDescent="0.5">
      <c r="B10" s="10" t="s">
        <v>4</v>
      </c>
      <c r="C10" s="11">
        <v>3.5000000000000003E-2</v>
      </c>
    </row>
    <row r="11" spans="2:3" x14ac:dyDescent="0.5">
      <c r="B11" s="10" t="s">
        <v>5</v>
      </c>
      <c r="C11" s="11">
        <v>0.05</v>
      </c>
    </row>
    <row r="12" spans="2:3" x14ac:dyDescent="0.5">
      <c r="B12" s="10" t="s">
        <v>6</v>
      </c>
      <c r="C12" s="11">
        <v>0.06</v>
      </c>
    </row>
    <row r="13" spans="2:3" x14ac:dyDescent="0.5">
      <c r="B13" s="10" t="s">
        <v>15</v>
      </c>
      <c r="C13" s="11">
        <v>6.9999999999999994E-5</v>
      </c>
    </row>
    <row r="14" spans="2:3" x14ac:dyDescent="0.5">
      <c r="B14" s="10" t="s">
        <v>44</v>
      </c>
      <c r="C14" s="11">
        <v>1.1424E-2</v>
      </c>
    </row>
    <row r="15" spans="2:3" x14ac:dyDescent="0.5">
      <c r="B15" s="10" t="s">
        <v>7</v>
      </c>
      <c r="C15" s="11">
        <v>4879508</v>
      </c>
    </row>
    <row r="16" spans="2:3" x14ac:dyDescent="0.5">
      <c r="B16" s="10" t="s">
        <v>8</v>
      </c>
      <c r="C16" s="11">
        <v>2088675</v>
      </c>
    </row>
    <row r="17" spans="2:5" x14ac:dyDescent="0.5">
      <c r="B17" s="10" t="s">
        <v>1</v>
      </c>
      <c r="C17" s="11">
        <v>2539.84</v>
      </c>
    </row>
    <row r="18" spans="2:5" x14ac:dyDescent="0.5">
      <c r="B18" s="8" t="s">
        <v>16</v>
      </c>
      <c r="C18" s="11">
        <v>2545.71</v>
      </c>
    </row>
    <row r="19" spans="2:5" x14ac:dyDescent="0.5">
      <c r="B19" s="8" t="s">
        <v>17</v>
      </c>
      <c r="C19" s="11">
        <v>2546.77</v>
      </c>
      <c r="D19" s="5"/>
      <c r="E19" s="5"/>
    </row>
    <row r="20" spans="2:5" x14ac:dyDescent="0.5">
      <c r="B20" s="8" t="s">
        <v>18</v>
      </c>
      <c r="C20" s="9">
        <f>C18-$C$17</f>
        <v>5.8699999999998909</v>
      </c>
      <c r="D20" s="3"/>
      <c r="E20" s="3"/>
    </row>
    <row r="21" spans="2:5" x14ac:dyDescent="0.5">
      <c r="B21" s="12" t="s">
        <v>19</v>
      </c>
      <c r="C21" s="13">
        <f>C19-$C$17</f>
        <v>6.9299999999998363</v>
      </c>
      <c r="D21" s="3"/>
      <c r="E21" s="3"/>
    </row>
    <row r="23" spans="2:5" x14ac:dyDescent="0.5">
      <c r="B23" s="4" t="s">
        <v>0</v>
      </c>
      <c r="C23" s="4" t="s">
        <v>14</v>
      </c>
      <c r="D23" s="5" t="s">
        <v>2</v>
      </c>
      <c r="E23" s="5" t="s">
        <v>3</v>
      </c>
    </row>
    <row r="24" spans="2:5" x14ac:dyDescent="0.5">
      <c r="B24" s="6">
        <v>46149</v>
      </c>
      <c r="C24" s="7">
        <v>2541.5</v>
      </c>
      <c r="D24" s="2">
        <f t="shared" ref="D24:D55" si="0">$C$18</f>
        <v>2545.71</v>
      </c>
      <c r="E24" s="2">
        <f t="shared" ref="E24:E55" si="1">$C$19</f>
        <v>2546.77</v>
      </c>
    </row>
    <row r="25" spans="2:5" x14ac:dyDescent="0.5">
      <c r="B25" s="6">
        <v>46150</v>
      </c>
      <c r="C25" s="7">
        <v>2541.4</v>
      </c>
      <c r="D25" s="2">
        <f t="shared" si="0"/>
        <v>2545.71</v>
      </c>
      <c r="E25" s="2">
        <f t="shared" si="1"/>
        <v>2546.77</v>
      </c>
    </row>
    <row r="26" spans="2:5" x14ac:dyDescent="0.5">
      <c r="B26" s="6">
        <v>46151</v>
      </c>
      <c r="C26" s="7">
        <v>2541.1999999999998</v>
      </c>
      <c r="D26" s="2">
        <f t="shared" si="0"/>
        <v>2545.71</v>
      </c>
      <c r="E26" s="2">
        <f t="shared" si="1"/>
        <v>2546.77</v>
      </c>
    </row>
    <row r="27" spans="2:5" x14ac:dyDescent="0.5">
      <c r="B27" s="6">
        <v>46152</v>
      </c>
      <c r="C27" s="7">
        <v>2541.1</v>
      </c>
      <c r="D27" s="2">
        <f t="shared" si="0"/>
        <v>2545.71</v>
      </c>
      <c r="E27" s="2">
        <f t="shared" si="1"/>
        <v>2546.77</v>
      </c>
    </row>
    <row r="28" spans="2:5" x14ac:dyDescent="0.5">
      <c r="B28" s="6">
        <v>46153</v>
      </c>
      <c r="C28" s="7">
        <v>2541.1999999999998</v>
      </c>
      <c r="D28" s="2">
        <f t="shared" si="0"/>
        <v>2545.71</v>
      </c>
      <c r="E28" s="2">
        <f t="shared" si="1"/>
        <v>2546.77</v>
      </c>
    </row>
    <row r="29" spans="2:5" x14ac:dyDescent="0.5">
      <c r="B29" s="6">
        <v>46154</v>
      </c>
      <c r="C29" s="7">
        <v>2541.1</v>
      </c>
      <c r="D29" s="2">
        <f t="shared" si="0"/>
        <v>2545.71</v>
      </c>
      <c r="E29" s="2">
        <f t="shared" si="1"/>
        <v>2546.77</v>
      </c>
    </row>
    <row r="30" spans="2:5" x14ac:dyDescent="0.5">
      <c r="B30" s="6">
        <v>46155</v>
      </c>
      <c r="C30" s="7">
        <v>2541.3000000000002</v>
      </c>
      <c r="D30" s="2">
        <f t="shared" si="0"/>
        <v>2545.71</v>
      </c>
      <c r="E30" s="2">
        <f t="shared" si="1"/>
        <v>2546.77</v>
      </c>
    </row>
    <row r="31" spans="2:5" x14ac:dyDescent="0.5">
      <c r="B31" s="6">
        <v>46156</v>
      </c>
      <c r="C31" s="7">
        <v>2541.3000000000002</v>
      </c>
      <c r="D31" s="2">
        <f t="shared" si="0"/>
        <v>2545.71</v>
      </c>
      <c r="E31" s="2">
        <f t="shared" si="1"/>
        <v>2546.77</v>
      </c>
    </row>
    <row r="32" spans="2:5" x14ac:dyDescent="0.5">
      <c r="B32" s="6">
        <v>46157</v>
      </c>
      <c r="C32" s="7">
        <v>2541.4</v>
      </c>
      <c r="D32" s="2">
        <f t="shared" si="0"/>
        <v>2545.71</v>
      </c>
      <c r="E32" s="2">
        <f t="shared" si="1"/>
        <v>2546.77</v>
      </c>
    </row>
    <row r="33" spans="2:5" x14ac:dyDescent="0.5">
      <c r="B33" s="6">
        <v>46158</v>
      </c>
      <c r="C33" s="7">
        <v>2541.4</v>
      </c>
      <c r="D33" s="2">
        <f t="shared" si="0"/>
        <v>2545.71</v>
      </c>
      <c r="E33" s="2">
        <f t="shared" si="1"/>
        <v>2546.77</v>
      </c>
    </row>
    <row r="34" spans="2:5" x14ac:dyDescent="0.5">
      <c r="B34" s="6">
        <v>46159</v>
      </c>
      <c r="C34" s="7">
        <v>2541.3000000000002</v>
      </c>
      <c r="D34" s="2">
        <f t="shared" si="0"/>
        <v>2545.71</v>
      </c>
      <c r="E34" s="2">
        <f t="shared" si="1"/>
        <v>2546.77</v>
      </c>
    </row>
    <row r="35" spans="2:5" x14ac:dyDescent="0.5">
      <c r="B35" s="6">
        <v>46160</v>
      </c>
      <c r="C35" s="7">
        <v>2541.3000000000002</v>
      </c>
      <c r="D35" s="2">
        <f t="shared" si="0"/>
        <v>2545.71</v>
      </c>
      <c r="E35" s="2">
        <f t="shared" si="1"/>
        <v>2546.77</v>
      </c>
    </row>
    <row r="36" spans="2:5" x14ac:dyDescent="0.5">
      <c r="B36" s="6">
        <v>46161</v>
      </c>
      <c r="C36" s="7">
        <v>2541.3000000000002</v>
      </c>
      <c r="D36" s="2">
        <f t="shared" si="0"/>
        <v>2545.71</v>
      </c>
      <c r="E36" s="2">
        <f t="shared" si="1"/>
        <v>2546.77</v>
      </c>
    </row>
    <row r="37" spans="2:5" x14ac:dyDescent="0.5">
      <c r="B37" s="6">
        <v>46162</v>
      </c>
      <c r="C37" s="7">
        <v>2541.3000000000002</v>
      </c>
      <c r="D37" s="2">
        <f t="shared" si="0"/>
        <v>2545.71</v>
      </c>
      <c r="E37" s="2">
        <f t="shared" si="1"/>
        <v>2546.77</v>
      </c>
    </row>
    <row r="38" spans="2:5" x14ac:dyDescent="0.5">
      <c r="B38" s="6">
        <v>46163</v>
      </c>
      <c r="C38" s="7">
        <v>2541.1999999999998</v>
      </c>
      <c r="D38" s="2">
        <f t="shared" si="0"/>
        <v>2545.71</v>
      </c>
      <c r="E38" s="2">
        <f t="shared" si="1"/>
        <v>2546.77</v>
      </c>
    </row>
    <row r="39" spans="2:5" x14ac:dyDescent="0.5">
      <c r="B39" s="6">
        <v>46164</v>
      </c>
      <c r="C39" s="7">
        <v>2541.3000000000002</v>
      </c>
      <c r="D39" s="2">
        <f t="shared" si="0"/>
        <v>2545.71</v>
      </c>
      <c r="E39" s="2">
        <f t="shared" si="1"/>
        <v>2546.77</v>
      </c>
    </row>
    <row r="40" spans="2:5" x14ac:dyDescent="0.5">
      <c r="B40" s="6">
        <v>46165</v>
      </c>
      <c r="C40" s="7">
        <v>2541.3000000000002</v>
      </c>
      <c r="D40" s="2">
        <f t="shared" si="0"/>
        <v>2545.71</v>
      </c>
      <c r="E40" s="2">
        <f t="shared" si="1"/>
        <v>2546.77</v>
      </c>
    </row>
    <row r="41" spans="2:5" x14ac:dyDescent="0.5">
      <c r="B41" s="6">
        <v>46166</v>
      </c>
      <c r="C41" s="7">
        <v>2541.3000000000002</v>
      </c>
      <c r="D41" s="2">
        <f t="shared" si="0"/>
        <v>2545.71</v>
      </c>
      <c r="E41" s="2">
        <f t="shared" si="1"/>
        <v>2546.77</v>
      </c>
    </row>
    <row r="42" spans="2:5" x14ac:dyDescent="0.5">
      <c r="B42" s="6">
        <v>46167</v>
      </c>
      <c r="C42" s="7">
        <v>2541.4</v>
      </c>
      <c r="D42" s="2">
        <f t="shared" si="0"/>
        <v>2545.71</v>
      </c>
      <c r="E42" s="2">
        <f t="shared" si="1"/>
        <v>2546.77</v>
      </c>
    </row>
    <row r="43" spans="2:5" x14ac:dyDescent="0.5">
      <c r="B43" s="6">
        <v>46168</v>
      </c>
      <c r="C43" s="7">
        <v>2541.4</v>
      </c>
      <c r="D43" s="2">
        <f t="shared" si="0"/>
        <v>2545.71</v>
      </c>
      <c r="E43" s="2">
        <f t="shared" si="1"/>
        <v>2546.77</v>
      </c>
    </row>
    <row r="44" spans="2:5" x14ac:dyDescent="0.5">
      <c r="B44" s="6">
        <v>46169</v>
      </c>
      <c r="C44" s="7">
        <v>2541.5</v>
      </c>
      <c r="D44" s="2">
        <f t="shared" si="0"/>
        <v>2545.71</v>
      </c>
      <c r="E44" s="2">
        <f t="shared" si="1"/>
        <v>2546.77</v>
      </c>
    </row>
    <row r="45" spans="2:5" x14ac:dyDescent="0.5">
      <c r="B45" s="6">
        <v>46170</v>
      </c>
      <c r="C45" s="7">
        <v>2541.6</v>
      </c>
      <c r="D45" s="2">
        <f t="shared" si="0"/>
        <v>2545.71</v>
      </c>
      <c r="E45" s="2">
        <f t="shared" si="1"/>
        <v>2546.77</v>
      </c>
    </row>
    <row r="46" spans="2:5" x14ac:dyDescent="0.5">
      <c r="B46" s="6">
        <v>46171</v>
      </c>
      <c r="C46" s="7">
        <v>2541.8000000000002</v>
      </c>
      <c r="D46" s="2">
        <f t="shared" si="0"/>
        <v>2545.71</v>
      </c>
      <c r="E46" s="2">
        <f t="shared" si="1"/>
        <v>2546.77</v>
      </c>
    </row>
    <row r="47" spans="2:5" x14ac:dyDescent="0.5">
      <c r="B47" s="6">
        <v>46172</v>
      </c>
      <c r="C47" s="7">
        <v>2541.9</v>
      </c>
      <c r="D47" s="2">
        <f t="shared" si="0"/>
        <v>2545.71</v>
      </c>
      <c r="E47" s="2">
        <f t="shared" si="1"/>
        <v>2546.77</v>
      </c>
    </row>
    <row r="48" spans="2:5" x14ac:dyDescent="0.5">
      <c r="B48" s="6">
        <v>46173</v>
      </c>
      <c r="C48" s="7">
        <v>2541.9</v>
      </c>
      <c r="D48" s="2">
        <f t="shared" si="0"/>
        <v>2545.71</v>
      </c>
      <c r="E48" s="2">
        <f t="shared" si="1"/>
        <v>2546.77</v>
      </c>
    </row>
    <row r="49" spans="2:5" x14ac:dyDescent="0.5">
      <c r="B49" s="6">
        <v>46174</v>
      </c>
      <c r="C49" s="7">
        <v>2541.8000000000002</v>
      </c>
      <c r="D49" s="2">
        <f t="shared" si="0"/>
        <v>2545.71</v>
      </c>
      <c r="E49" s="2">
        <f t="shared" si="1"/>
        <v>2546.77</v>
      </c>
    </row>
    <row r="50" spans="2:5" x14ac:dyDescent="0.5">
      <c r="B50" s="6">
        <v>46175</v>
      </c>
      <c r="C50" s="7">
        <v>2541.6999999999998</v>
      </c>
      <c r="D50" s="2">
        <f t="shared" si="0"/>
        <v>2545.71</v>
      </c>
      <c r="E50" s="2">
        <f t="shared" si="1"/>
        <v>2546.77</v>
      </c>
    </row>
    <row r="51" spans="2:5" x14ac:dyDescent="0.5">
      <c r="B51" s="6">
        <v>46176</v>
      </c>
      <c r="C51" s="7">
        <v>2541.6</v>
      </c>
      <c r="D51" s="2">
        <f t="shared" si="0"/>
        <v>2545.71</v>
      </c>
      <c r="E51" s="2">
        <f t="shared" si="1"/>
        <v>2546.77</v>
      </c>
    </row>
    <row r="52" spans="2:5" x14ac:dyDescent="0.5">
      <c r="B52" s="6">
        <v>46177</v>
      </c>
      <c r="C52" s="7">
        <v>2541.5</v>
      </c>
      <c r="D52" s="2">
        <f t="shared" si="0"/>
        <v>2545.71</v>
      </c>
      <c r="E52" s="2">
        <f t="shared" si="1"/>
        <v>2546.77</v>
      </c>
    </row>
    <row r="53" spans="2:5" x14ac:dyDescent="0.5">
      <c r="B53" s="6">
        <v>46178</v>
      </c>
      <c r="C53" s="7">
        <v>2541.6</v>
      </c>
      <c r="D53" s="2">
        <f t="shared" si="0"/>
        <v>2545.71</v>
      </c>
      <c r="E53" s="2">
        <f t="shared" si="1"/>
        <v>2546.77</v>
      </c>
    </row>
    <row r="54" spans="2:5" x14ac:dyDescent="0.5">
      <c r="B54" s="6">
        <v>46179</v>
      </c>
      <c r="C54" s="7">
        <v>2541.6999999999998</v>
      </c>
      <c r="D54" s="2">
        <f t="shared" si="0"/>
        <v>2545.71</v>
      </c>
      <c r="E54" s="2">
        <f t="shared" si="1"/>
        <v>2546.77</v>
      </c>
    </row>
    <row r="55" spans="2:5" x14ac:dyDescent="0.5">
      <c r="B55" s="6">
        <v>46180</v>
      </c>
      <c r="C55" s="7">
        <v>2541.8000000000002</v>
      </c>
      <c r="D55" s="2">
        <f t="shared" si="0"/>
        <v>2545.71</v>
      </c>
      <c r="E55" s="2">
        <f t="shared" si="1"/>
        <v>2546.77</v>
      </c>
    </row>
    <row r="56" spans="2:5" x14ac:dyDescent="0.5">
      <c r="B56" s="6">
        <v>46181</v>
      </c>
      <c r="C56" s="7">
        <v>2542.1999999999998</v>
      </c>
      <c r="D56" s="2">
        <f t="shared" ref="D56:D84" si="2">$C$18</f>
        <v>2545.71</v>
      </c>
      <c r="E56" s="2">
        <f t="shared" ref="E56:E84" si="3">$C$19</f>
        <v>2546.77</v>
      </c>
    </row>
    <row r="57" spans="2:5" x14ac:dyDescent="0.5">
      <c r="B57" s="6">
        <v>46182</v>
      </c>
      <c r="C57" s="7">
        <v>2542.4</v>
      </c>
      <c r="D57" s="2">
        <f t="shared" si="2"/>
        <v>2545.71</v>
      </c>
      <c r="E57" s="2">
        <f t="shared" si="3"/>
        <v>2546.77</v>
      </c>
    </row>
    <row r="58" spans="2:5" x14ac:dyDescent="0.5">
      <c r="B58" s="6">
        <v>46183</v>
      </c>
      <c r="C58" s="7">
        <v>2542.4</v>
      </c>
      <c r="D58" s="2">
        <f t="shared" si="2"/>
        <v>2545.71</v>
      </c>
      <c r="E58" s="2">
        <f t="shared" si="3"/>
        <v>2546.77</v>
      </c>
    </row>
    <row r="59" spans="2:5" x14ac:dyDescent="0.5">
      <c r="B59" s="6">
        <v>46184</v>
      </c>
      <c r="C59" s="7">
        <v>2542.1999999999998</v>
      </c>
      <c r="D59" s="2">
        <f t="shared" si="2"/>
        <v>2545.71</v>
      </c>
      <c r="E59" s="2">
        <f t="shared" si="3"/>
        <v>2546.77</v>
      </c>
    </row>
    <row r="60" spans="2:5" x14ac:dyDescent="0.5">
      <c r="B60" s="6">
        <v>46185</v>
      </c>
      <c r="C60" s="7">
        <v>2542</v>
      </c>
      <c r="D60" s="2">
        <f t="shared" si="2"/>
        <v>2545.71</v>
      </c>
      <c r="E60" s="2">
        <f t="shared" si="3"/>
        <v>2546.77</v>
      </c>
    </row>
    <row r="61" spans="2:5" x14ac:dyDescent="0.5">
      <c r="B61" s="6">
        <v>46186</v>
      </c>
      <c r="C61" s="7">
        <v>2541.8000000000002</v>
      </c>
      <c r="D61" s="2">
        <f t="shared" si="2"/>
        <v>2545.71</v>
      </c>
      <c r="E61" s="2">
        <f t="shared" si="3"/>
        <v>2546.77</v>
      </c>
    </row>
    <row r="62" spans="2:5" x14ac:dyDescent="0.5">
      <c r="B62" s="6">
        <v>46187</v>
      </c>
      <c r="C62" s="7">
        <v>2541.6999999999998</v>
      </c>
      <c r="D62" s="2">
        <f t="shared" si="2"/>
        <v>2545.71</v>
      </c>
      <c r="E62" s="2">
        <f t="shared" si="3"/>
        <v>2546.77</v>
      </c>
    </row>
    <row r="63" spans="2:5" x14ac:dyDescent="0.5">
      <c r="B63" s="6">
        <v>46188</v>
      </c>
      <c r="C63" s="7">
        <v>2541.6</v>
      </c>
      <c r="D63" s="2">
        <f t="shared" si="2"/>
        <v>2545.71</v>
      </c>
      <c r="E63" s="2">
        <f t="shared" si="3"/>
        <v>2546.77</v>
      </c>
    </row>
    <row r="64" spans="2:5" x14ac:dyDescent="0.5">
      <c r="B64" s="6">
        <v>46189</v>
      </c>
      <c r="C64" s="7">
        <v>2541.5</v>
      </c>
      <c r="D64" s="2">
        <f t="shared" si="2"/>
        <v>2545.71</v>
      </c>
      <c r="E64" s="2">
        <f t="shared" si="3"/>
        <v>2546.77</v>
      </c>
    </row>
    <row r="65" spans="2:5" x14ac:dyDescent="0.5">
      <c r="B65" s="6">
        <v>46190</v>
      </c>
      <c r="C65" s="7">
        <v>2541.4</v>
      </c>
      <c r="D65" s="2">
        <f t="shared" si="2"/>
        <v>2545.71</v>
      </c>
      <c r="E65" s="2">
        <f t="shared" si="3"/>
        <v>2546.77</v>
      </c>
    </row>
    <row r="66" spans="2:5" x14ac:dyDescent="0.5">
      <c r="B66" s="6">
        <v>46191</v>
      </c>
      <c r="C66" s="7">
        <v>2541.4</v>
      </c>
      <c r="D66" s="2">
        <f t="shared" si="2"/>
        <v>2545.71</v>
      </c>
      <c r="E66" s="2">
        <f t="shared" si="3"/>
        <v>2546.77</v>
      </c>
    </row>
    <row r="67" spans="2:5" x14ac:dyDescent="0.5">
      <c r="B67" s="6">
        <v>46192</v>
      </c>
      <c r="C67" s="7">
        <v>2541.3000000000002</v>
      </c>
      <c r="D67" s="2">
        <f t="shared" si="2"/>
        <v>2545.71</v>
      </c>
      <c r="E67" s="2">
        <f t="shared" si="3"/>
        <v>2546.77</v>
      </c>
    </row>
    <row r="68" spans="2:5" x14ac:dyDescent="0.5">
      <c r="B68" s="6">
        <v>46193</v>
      </c>
      <c r="C68" s="7">
        <v>2541.3000000000002</v>
      </c>
      <c r="D68" s="2">
        <f t="shared" si="2"/>
        <v>2545.71</v>
      </c>
      <c r="E68" s="2">
        <f t="shared" si="3"/>
        <v>2546.77</v>
      </c>
    </row>
    <row r="69" spans="2:5" x14ac:dyDescent="0.5">
      <c r="B69" s="6">
        <v>46194</v>
      </c>
      <c r="C69" s="7">
        <v>2541.1999999999998</v>
      </c>
      <c r="D69" s="2">
        <f t="shared" si="2"/>
        <v>2545.71</v>
      </c>
      <c r="E69" s="2">
        <f t="shared" si="3"/>
        <v>2546.77</v>
      </c>
    </row>
    <row r="70" spans="2:5" x14ac:dyDescent="0.5">
      <c r="B70" s="6">
        <v>46195</v>
      </c>
      <c r="C70" s="7">
        <v>2541.1999999999998</v>
      </c>
      <c r="D70" s="2">
        <f t="shared" si="2"/>
        <v>2545.71</v>
      </c>
      <c r="E70" s="2">
        <f t="shared" si="3"/>
        <v>2546.77</v>
      </c>
    </row>
    <row r="71" spans="2:5" x14ac:dyDescent="0.5">
      <c r="B71" s="6">
        <v>46196</v>
      </c>
      <c r="C71" s="7">
        <v>2541.1</v>
      </c>
      <c r="D71" s="2">
        <f t="shared" si="2"/>
        <v>2545.71</v>
      </c>
      <c r="E71" s="2">
        <f t="shared" si="3"/>
        <v>2546.77</v>
      </c>
    </row>
    <row r="72" spans="2:5" x14ac:dyDescent="0.5">
      <c r="B72" s="6">
        <v>46197</v>
      </c>
      <c r="C72" s="7">
        <v>2541.1</v>
      </c>
      <c r="D72" s="2">
        <f t="shared" si="2"/>
        <v>2545.71</v>
      </c>
      <c r="E72" s="2">
        <f t="shared" si="3"/>
        <v>2546.77</v>
      </c>
    </row>
    <row r="73" spans="2:5" x14ac:dyDescent="0.5">
      <c r="B73" s="6">
        <v>46198</v>
      </c>
      <c r="C73" s="7">
        <v>2541.1</v>
      </c>
      <c r="D73" s="2">
        <f t="shared" si="2"/>
        <v>2545.71</v>
      </c>
      <c r="E73" s="2">
        <f t="shared" si="3"/>
        <v>2546.77</v>
      </c>
    </row>
    <row r="74" spans="2:5" x14ac:dyDescent="0.5">
      <c r="B74" s="6">
        <v>46199</v>
      </c>
      <c r="C74" s="7">
        <v>2541</v>
      </c>
      <c r="D74" s="2">
        <f t="shared" si="2"/>
        <v>2545.71</v>
      </c>
      <c r="E74" s="2">
        <f t="shared" si="3"/>
        <v>2546.77</v>
      </c>
    </row>
    <row r="75" spans="2:5" x14ac:dyDescent="0.5">
      <c r="B75" s="6">
        <v>46200</v>
      </c>
      <c r="C75" s="7">
        <v>2541</v>
      </c>
      <c r="D75" s="2">
        <f t="shared" si="2"/>
        <v>2545.71</v>
      </c>
      <c r="E75" s="2">
        <f t="shared" si="3"/>
        <v>2546.77</v>
      </c>
    </row>
    <row r="76" spans="2:5" x14ac:dyDescent="0.5">
      <c r="B76" s="6">
        <v>46201</v>
      </c>
      <c r="C76" s="7">
        <v>2541</v>
      </c>
      <c r="D76" s="2">
        <f t="shared" si="2"/>
        <v>2545.71</v>
      </c>
      <c r="E76" s="2">
        <f t="shared" si="3"/>
        <v>2546.77</v>
      </c>
    </row>
    <row r="77" spans="2:5" x14ac:dyDescent="0.5">
      <c r="B77" s="6">
        <v>46202</v>
      </c>
      <c r="C77" s="7">
        <v>2541</v>
      </c>
      <c r="D77" s="2">
        <f t="shared" si="2"/>
        <v>2545.71</v>
      </c>
      <c r="E77" s="2">
        <f t="shared" si="3"/>
        <v>2546.77</v>
      </c>
    </row>
    <row r="78" spans="2:5" x14ac:dyDescent="0.5">
      <c r="B78" s="6">
        <v>46203</v>
      </c>
      <c r="C78" s="7">
        <v>2541</v>
      </c>
      <c r="D78" s="2">
        <f t="shared" si="2"/>
        <v>2545.71</v>
      </c>
      <c r="E78" s="2">
        <f t="shared" si="3"/>
        <v>2546.77</v>
      </c>
    </row>
    <row r="79" spans="2:5" x14ac:dyDescent="0.5">
      <c r="B79" s="6">
        <v>46204</v>
      </c>
      <c r="C79" s="7">
        <v>2541.1999999999998</v>
      </c>
      <c r="D79" s="2">
        <f t="shared" si="2"/>
        <v>2545.71</v>
      </c>
      <c r="E79" s="2">
        <f t="shared" si="3"/>
        <v>2546.77</v>
      </c>
    </row>
    <row r="80" spans="2:5" x14ac:dyDescent="0.5">
      <c r="B80" s="6">
        <v>46205</v>
      </c>
      <c r="C80" s="7">
        <v>2541.5</v>
      </c>
      <c r="D80" s="2">
        <f t="shared" si="2"/>
        <v>2545.71</v>
      </c>
      <c r="E80" s="2">
        <f t="shared" si="3"/>
        <v>2546.77</v>
      </c>
    </row>
    <row r="81" spans="2:5" x14ac:dyDescent="0.5">
      <c r="B81" s="6">
        <v>46206</v>
      </c>
      <c r="C81" s="7">
        <v>2541.6</v>
      </c>
      <c r="D81" s="2">
        <f t="shared" si="2"/>
        <v>2545.71</v>
      </c>
      <c r="E81" s="2">
        <f t="shared" si="3"/>
        <v>2546.77</v>
      </c>
    </row>
    <row r="82" spans="2:5" x14ac:dyDescent="0.5">
      <c r="B82" s="6">
        <v>46207</v>
      </c>
      <c r="C82" s="7">
        <v>2541.6</v>
      </c>
      <c r="D82" s="2">
        <f t="shared" si="2"/>
        <v>2545.71</v>
      </c>
      <c r="E82" s="2">
        <f t="shared" si="3"/>
        <v>2546.77</v>
      </c>
    </row>
    <row r="83" spans="2:5" x14ac:dyDescent="0.5">
      <c r="B83" s="6">
        <v>46208</v>
      </c>
      <c r="C83" s="7">
        <v>2541.6999999999998</v>
      </c>
      <c r="D83" s="2">
        <f t="shared" si="2"/>
        <v>2545.71</v>
      </c>
      <c r="E83" s="2">
        <f t="shared" si="3"/>
        <v>2546.77</v>
      </c>
    </row>
    <row r="84" spans="2:5" x14ac:dyDescent="0.5">
      <c r="B84" s="6">
        <v>46209</v>
      </c>
      <c r="C84" s="7">
        <v>2541.9</v>
      </c>
      <c r="D84" s="2">
        <f t="shared" si="2"/>
        <v>2545.71</v>
      </c>
      <c r="E84" s="2">
        <f t="shared" si="3"/>
        <v>2546.77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C9D43-69FE-454A-9B3B-8DA74B234F90}">
  <dimension ref="B2:B3"/>
  <sheetViews>
    <sheetView workbookViewId="0">
      <selection activeCell="B11" sqref="B11"/>
    </sheetView>
  </sheetViews>
  <sheetFormatPr defaultRowHeight="16.350000000000001" x14ac:dyDescent="0.65"/>
  <cols>
    <col min="1" max="1" width="2.64453125" style="1" customWidth="1"/>
    <col min="2" max="2" width="83.8203125" style="1" customWidth="1"/>
    <col min="3" max="16384" width="8.9375" style="1"/>
  </cols>
  <sheetData>
    <row r="2" spans="2:2" x14ac:dyDescent="0.65">
      <c r="B2" s="1" t="s">
        <v>13</v>
      </c>
    </row>
    <row r="3" spans="2:2" x14ac:dyDescent="0.65">
      <c r="B3" s="1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87096-C00A-4FD0-835E-FAB42C8173A6}">
  <dimension ref="B2:F246"/>
  <sheetViews>
    <sheetView topLeftCell="A227" zoomScale="115" zoomScaleNormal="115" workbookViewId="0">
      <selection activeCell="D26" sqref="D26:D246"/>
    </sheetView>
  </sheetViews>
  <sheetFormatPr defaultRowHeight="16.350000000000001" x14ac:dyDescent="0.5"/>
  <cols>
    <col min="1" max="1" width="2.64453125" style="17" customWidth="1"/>
    <col min="2" max="3" width="17.76171875" style="17" customWidth="1"/>
    <col min="4" max="4" width="16.234375" style="17" customWidth="1"/>
    <col min="5" max="16384" width="8.9375" style="17"/>
  </cols>
  <sheetData>
    <row r="2" spans="2:6" x14ac:dyDescent="0.5">
      <c r="B2" s="17" t="s">
        <v>36</v>
      </c>
    </row>
    <row r="3" spans="2:6" x14ac:dyDescent="0.5">
      <c r="B3" s="17" t="s">
        <v>37</v>
      </c>
    </row>
    <row r="4" spans="2:6" x14ac:dyDescent="0.5">
      <c r="B4" s="17" t="s">
        <v>29</v>
      </c>
      <c r="C4" s="17" t="s">
        <v>30</v>
      </c>
      <c r="D4" s="17" t="s">
        <v>31</v>
      </c>
      <c r="E4" s="17" t="s">
        <v>32</v>
      </c>
      <c r="F4" s="17" t="s">
        <v>33</v>
      </c>
    </row>
    <row r="5" spans="2:6" x14ac:dyDescent="0.5">
      <c r="B5" s="17" t="s">
        <v>34</v>
      </c>
      <c r="C5" s="17" t="s">
        <v>35</v>
      </c>
      <c r="D5" s="17">
        <v>0</v>
      </c>
      <c r="E5" s="17">
        <v>0</v>
      </c>
      <c r="F5" s="17">
        <v>2545.7391339999999</v>
      </c>
    </row>
    <row r="6" spans="2:6" x14ac:dyDescent="0.5">
      <c r="B6" s="17" t="s">
        <v>34</v>
      </c>
      <c r="C6" s="17" t="s">
        <v>35</v>
      </c>
      <c r="D6" s="17">
        <v>0</v>
      </c>
      <c r="E6" s="17">
        <v>12.399134</v>
      </c>
      <c r="F6" s="17">
        <v>2545.7391339999999</v>
      </c>
    </row>
    <row r="7" spans="2:6" x14ac:dyDescent="0.5">
      <c r="B7" s="17" t="s">
        <v>34</v>
      </c>
      <c r="C7" s="17" t="s">
        <v>35</v>
      </c>
      <c r="D7" s="17">
        <v>0</v>
      </c>
      <c r="E7" s="17">
        <v>24.197402</v>
      </c>
      <c r="F7" s="17">
        <v>2539.84</v>
      </c>
    </row>
    <row r="8" spans="2:6" x14ac:dyDescent="0.5">
      <c r="B8" s="17" t="s">
        <v>34</v>
      </c>
      <c r="C8" s="17" t="s">
        <v>35</v>
      </c>
      <c r="D8" s="17">
        <v>0</v>
      </c>
      <c r="E8" s="17">
        <v>50.197401999999997</v>
      </c>
      <c r="F8" s="17">
        <v>2539.84</v>
      </c>
    </row>
    <row r="9" spans="2:6" x14ac:dyDescent="0.5">
      <c r="B9" s="17" t="s">
        <v>34</v>
      </c>
      <c r="C9" s="17" t="s">
        <v>35</v>
      </c>
      <c r="D9" s="17">
        <v>0</v>
      </c>
      <c r="E9" s="17">
        <v>61.995669999999997</v>
      </c>
      <c r="F9" s="17">
        <v>2545.7391339999999</v>
      </c>
    </row>
    <row r="10" spans="2:6" x14ac:dyDescent="0.5">
      <c r="B10" s="17" t="s">
        <v>34</v>
      </c>
      <c r="C10" s="17" t="s">
        <v>35</v>
      </c>
      <c r="D10" s="17">
        <v>0</v>
      </c>
      <c r="E10" s="17">
        <v>74.394805000000005</v>
      </c>
      <c r="F10" s="17">
        <v>2545.7391339999999</v>
      </c>
    </row>
    <row r="11" spans="2:6" x14ac:dyDescent="0.5">
      <c r="B11" s="17" t="s">
        <v>34</v>
      </c>
      <c r="C11" s="17" t="s">
        <v>35</v>
      </c>
      <c r="D11" s="17">
        <v>1000</v>
      </c>
      <c r="E11" s="17">
        <v>0</v>
      </c>
      <c r="F11" s="17">
        <v>2545.8091340000001</v>
      </c>
    </row>
    <row r="12" spans="2:6" x14ac:dyDescent="0.5">
      <c r="B12" s="17" t="s">
        <v>34</v>
      </c>
      <c r="C12" s="17" t="s">
        <v>35</v>
      </c>
      <c r="D12" s="17">
        <v>1000</v>
      </c>
      <c r="E12" s="17">
        <v>12.399134</v>
      </c>
      <c r="F12" s="17">
        <v>2545.8091340000001</v>
      </c>
    </row>
    <row r="13" spans="2:6" x14ac:dyDescent="0.5">
      <c r="B13" s="17" t="s">
        <v>34</v>
      </c>
      <c r="C13" s="17" t="s">
        <v>35</v>
      </c>
      <c r="D13" s="17">
        <v>1000</v>
      </c>
      <c r="E13" s="17">
        <v>24.197402</v>
      </c>
      <c r="F13" s="17">
        <v>2539.91</v>
      </c>
    </row>
    <row r="14" spans="2:6" x14ac:dyDescent="0.5">
      <c r="B14" s="17" t="s">
        <v>34</v>
      </c>
      <c r="C14" s="17" t="s">
        <v>35</v>
      </c>
      <c r="D14" s="17">
        <v>1000</v>
      </c>
      <c r="E14" s="17">
        <v>50.197401999999997</v>
      </c>
      <c r="F14" s="17">
        <v>2539.91</v>
      </c>
    </row>
    <row r="15" spans="2:6" x14ac:dyDescent="0.5">
      <c r="B15" s="17" t="s">
        <v>34</v>
      </c>
      <c r="C15" s="17" t="s">
        <v>35</v>
      </c>
      <c r="D15" s="17">
        <v>1000</v>
      </c>
      <c r="E15" s="17">
        <v>61.995669999999997</v>
      </c>
      <c r="F15" s="17">
        <v>2545.8091340000001</v>
      </c>
    </row>
    <row r="16" spans="2:6" x14ac:dyDescent="0.5">
      <c r="B16" s="17" t="s">
        <v>34</v>
      </c>
      <c r="C16" s="17" t="s">
        <v>35</v>
      </c>
      <c r="D16" s="17">
        <v>1000</v>
      </c>
      <c r="E16" s="17">
        <v>74.394805000000005</v>
      </c>
      <c r="F16" s="17">
        <v>2545.8091340000001</v>
      </c>
    </row>
    <row r="18" spans="2:4" x14ac:dyDescent="0.5">
      <c r="B18" s="17" t="s">
        <v>40</v>
      </c>
    </row>
    <row r="19" spans="2:4" x14ac:dyDescent="0.5">
      <c r="B19" s="18" t="s">
        <v>38</v>
      </c>
      <c r="C19" s="18" t="s">
        <v>39</v>
      </c>
    </row>
    <row r="20" spans="2:4" x14ac:dyDescent="0.5">
      <c r="B20" s="18">
        <v>4880508</v>
      </c>
      <c r="C20" s="18">
        <v>2088675</v>
      </c>
    </row>
    <row r="21" spans="2:4" x14ac:dyDescent="0.5">
      <c r="B21" s="17">
        <v>4879508</v>
      </c>
      <c r="C21" s="17">
        <v>2088675</v>
      </c>
    </row>
    <row r="23" spans="2:4" x14ac:dyDescent="0.5">
      <c r="B23" s="17" t="s">
        <v>41</v>
      </c>
    </row>
    <row r="24" spans="2:4" x14ac:dyDescent="0.5">
      <c r="B24" s="17" t="s">
        <v>42</v>
      </c>
    </row>
    <row r="25" spans="2:4" x14ac:dyDescent="0.5">
      <c r="B25" s="17" t="s">
        <v>28</v>
      </c>
      <c r="C25" s="17" t="s">
        <v>27</v>
      </c>
      <c r="D25" s="17" t="s">
        <v>43</v>
      </c>
    </row>
    <row r="26" spans="2:4" x14ac:dyDescent="0.5">
      <c r="B26" s="17">
        <v>0</v>
      </c>
      <c r="C26" s="17">
        <v>0</v>
      </c>
      <c r="D26" s="17">
        <v>0</v>
      </c>
    </row>
    <row r="27" spans="2:4" x14ac:dyDescent="0.5">
      <c r="B27" s="17">
        <v>1</v>
      </c>
      <c r="C27" s="17">
        <v>0.25</v>
      </c>
      <c r="D27" s="17">
        <v>23.333333</v>
      </c>
    </row>
    <row r="28" spans="2:4" x14ac:dyDescent="0.5">
      <c r="B28" s="17">
        <v>2</v>
      </c>
      <c r="C28" s="17">
        <v>0.5</v>
      </c>
      <c r="D28" s="17">
        <v>46.666666999999997</v>
      </c>
    </row>
    <row r="29" spans="2:4" x14ac:dyDescent="0.5">
      <c r="B29" s="17">
        <v>3</v>
      </c>
      <c r="C29" s="17">
        <v>0.75</v>
      </c>
      <c r="D29" s="17">
        <v>70</v>
      </c>
    </row>
    <row r="30" spans="2:4" x14ac:dyDescent="0.5">
      <c r="B30" s="17">
        <v>4</v>
      </c>
      <c r="C30" s="17">
        <v>1</v>
      </c>
      <c r="D30" s="17">
        <v>93.333332999999996</v>
      </c>
    </row>
    <row r="31" spans="2:4" x14ac:dyDescent="0.5">
      <c r="B31" s="17">
        <v>5</v>
      </c>
      <c r="C31" s="17">
        <v>1.25</v>
      </c>
      <c r="D31" s="17">
        <v>116.666667</v>
      </c>
    </row>
    <row r="32" spans="2:4" x14ac:dyDescent="0.5">
      <c r="B32" s="17">
        <v>6</v>
      </c>
      <c r="C32" s="17">
        <v>1.5</v>
      </c>
      <c r="D32" s="17">
        <v>140</v>
      </c>
    </row>
    <row r="33" spans="2:4" x14ac:dyDescent="0.5">
      <c r="B33" s="17">
        <v>7</v>
      </c>
      <c r="C33" s="17">
        <v>1.75</v>
      </c>
      <c r="D33" s="17">
        <v>126</v>
      </c>
    </row>
    <row r="34" spans="2:4" x14ac:dyDescent="0.5">
      <c r="B34" s="17">
        <v>8</v>
      </c>
      <c r="C34" s="17">
        <v>2</v>
      </c>
      <c r="D34" s="17">
        <v>112</v>
      </c>
    </row>
    <row r="35" spans="2:4" x14ac:dyDescent="0.5">
      <c r="B35" s="17">
        <v>9</v>
      </c>
      <c r="C35" s="17">
        <v>2.25</v>
      </c>
      <c r="D35" s="17">
        <v>98</v>
      </c>
    </row>
    <row r="36" spans="2:4" x14ac:dyDescent="0.5">
      <c r="B36" s="17">
        <v>10</v>
      </c>
      <c r="C36" s="17">
        <v>2.5</v>
      </c>
      <c r="D36" s="17">
        <v>84</v>
      </c>
    </row>
    <row r="37" spans="2:4" x14ac:dyDescent="0.5">
      <c r="B37" s="17">
        <v>11</v>
      </c>
      <c r="C37" s="17">
        <v>2.75</v>
      </c>
      <c r="D37" s="17">
        <v>70</v>
      </c>
    </row>
    <row r="38" spans="2:4" x14ac:dyDescent="0.5">
      <c r="B38" s="17">
        <v>12</v>
      </c>
      <c r="C38" s="17">
        <v>3</v>
      </c>
      <c r="D38" s="17">
        <v>56</v>
      </c>
    </row>
    <row r="39" spans="2:4" x14ac:dyDescent="0.5">
      <c r="B39" s="17">
        <v>13</v>
      </c>
      <c r="C39" s="17">
        <v>3.25</v>
      </c>
      <c r="D39" s="17">
        <v>42</v>
      </c>
    </row>
    <row r="40" spans="2:4" x14ac:dyDescent="0.5">
      <c r="B40" s="17">
        <v>14</v>
      </c>
      <c r="C40" s="17">
        <v>3.5</v>
      </c>
      <c r="D40" s="17">
        <v>28</v>
      </c>
    </row>
    <row r="41" spans="2:4" x14ac:dyDescent="0.5">
      <c r="B41" s="17">
        <v>15</v>
      </c>
      <c r="C41" s="17">
        <v>3.75</v>
      </c>
      <c r="D41" s="17">
        <v>14</v>
      </c>
    </row>
    <row r="42" spans="2:4" x14ac:dyDescent="0.5">
      <c r="B42" s="17">
        <v>16</v>
      </c>
      <c r="C42" s="17">
        <v>4</v>
      </c>
      <c r="D42" s="17">
        <v>0</v>
      </c>
    </row>
    <row r="43" spans="2:4" x14ac:dyDescent="0.5">
      <c r="D43" s="17">
        <v>0</v>
      </c>
    </row>
    <row r="44" spans="2:4" x14ac:dyDescent="0.5">
      <c r="D44" s="17">
        <v>0</v>
      </c>
    </row>
    <row r="45" spans="2:4" x14ac:dyDescent="0.5">
      <c r="D45" s="17">
        <v>0</v>
      </c>
    </row>
    <row r="46" spans="2:4" x14ac:dyDescent="0.5">
      <c r="D46" s="17">
        <v>0</v>
      </c>
    </row>
    <row r="47" spans="2:4" x14ac:dyDescent="0.5">
      <c r="D47" s="17">
        <v>0</v>
      </c>
    </row>
    <row r="48" spans="2:4" x14ac:dyDescent="0.5">
      <c r="D48" s="17">
        <v>0</v>
      </c>
    </row>
    <row r="49" spans="4:4" x14ac:dyDescent="0.5">
      <c r="D49" s="17">
        <v>0</v>
      </c>
    </row>
    <row r="50" spans="4:4" x14ac:dyDescent="0.5">
      <c r="D50" s="17">
        <v>0</v>
      </c>
    </row>
    <row r="51" spans="4:4" x14ac:dyDescent="0.5">
      <c r="D51" s="17">
        <v>0</v>
      </c>
    </row>
    <row r="52" spans="4:4" x14ac:dyDescent="0.5">
      <c r="D52" s="17">
        <v>0</v>
      </c>
    </row>
    <row r="53" spans="4:4" x14ac:dyDescent="0.5">
      <c r="D53" s="17">
        <v>0</v>
      </c>
    </row>
    <row r="54" spans="4:4" x14ac:dyDescent="0.5">
      <c r="D54" s="17">
        <v>0</v>
      </c>
    </row>
    <row r="55" spans="4:4" x14ac:dyDescent="0.5">
      <c r="D55" s="17">
        <v>0</v>
      </c>
    </row>
    <row r="56" spans="4:4" x14ac:dyDescent="0.5">
      <c r="D56" s="17">
        <v>0</v>
      </c>
    </row>
    <row r="57" spans="4:4" x14ac:dyDescent="0.5">
      <c r="D57" s="17">
        <v>0</v>
      </c>
    </row>
    <row r="58" spans="4:4" x14ac:dyDescent="0.5">
      <c r="D58" s="17">
        <v>0</v>
      </c>
    </row>
    <row r="59" spans="4:4" x14ac:dyDescent="0.5">
      <c r="D59" s="17">
        <v>0</v>
      </c>
    </row>
    <row r="60" spans="4:4" x14ac:dyDescent="0.5">
      <c r="D60" s="17">
        <v>0</v>
      </c>
    </row>
    <row r="61" spans="4:4" x14ac:dyDescent="0.5">
      <c r="D61" s="17">
        <v>0</v>
      </c>
    </row>
    <row r="62" spans="4:4" x14ac:dyDescent="0.5">
      <c r="D62" s="17">
        <v>0</v>
      </c>
    </row>
    <row r="63" spans="4:4" x14ac:dyDescent="0.5">
      <c r="D63" s="17">
        <v>0</v>
      </c>
    </row>
    <row r="64" spans="4:4" x14ac:dyDescent="0.5">
      <c r="D64" s="17">
        <v>0</v>
      </c>
    </row>
    <row r="65" spans="4:4" x14ac:dyDescent="0.5">
      <c r="D65" s="17">
        <v>0</v>
      </c>
    </row>
    <row r="66" spans="4:4" x14ac:dyDescent="0.5">
      <c r="D66" s="17">
        <v>0</v>
      </c>
    </row>
    <row r="67" spans="4:4" x14ac:dyDescent="0.5">
      <c r="D67" s="17">
        <v>0</v>
      </c>
    </row>
    <row r="68" spans="4:4" x14ac:dyDescent="0.5">
      <c r="D68" s="17">
        <v>0</v>
      </c>
    </row>
    <row r="69" spans="4:4" x14ac:dyDescent="0.5">
      <c r="D69" s="17">
        <v>0</v>
      </c>
    </row>
    <row r="70" spans="4:4" x14ac:dyDescent="0.5">
      <c r="D70" s="17">
        <v>0</v>
      </c>
    </row>
    <row r="71" spans="4:4" x14ac:dyDescent="0.5">
      <c r="D71" s="17">
        <v>0</v>
      </c>
    </row>
    <row r="72" spans="4:4" x14ac:dyDescent="0.5">
      <c r="D72" s="17">
        <v>0</v>
      </c>
    </row>
    <row r="73" spans="4:4" x14ac:dyDescent="0.5">
      <c r="D73" s="17">
        <v>0</v>
      </c>
    </row>
    <row r="74" spans="4:4" x14ac:dyDescent="0.5">
      <c r="D74" s="17">
        <v>0</v>
      </c>
    </row>
    <row r="75" spans="4:4" x14ac:dyDescent="0.5">
      <c r="D75" s="17">
        <v>0</v>
      </c>
    </row>
    <row r="76" spans="4:4" x14ac:dyDescent="0.5">
      <c r="D76" s="17">
        <v>0</v>
      </c>
    </row>
    <row r="77" spans="4:4" x14ac:dyDescent="0.5">
      <c r="D77" s="17">
        <v>0</v>
      </c>
    </row>
    <row r="78" spans="4:4" x14ac:dyDescent="0.5">
      <c r="D78" s="17">
        <v>0</v>
      </c>
    </row>
    <row r="79" spans="4:4" x14ac:dyDescent="0.5">
      <c r="D79" s="17">
        <v>0</v>
      </c>
    </row>
    <row r="80" spans="4:4" x14ac:dyDescent="0.5">
      <c r="D80" s="17">
        <v>0</v>
      </c>
    </row>
    <row r="81" spans="4:4" x14ac:dyDescent="0.5">
      <c r="D81" s="17">
        <v>0</v>
      </c>
    </row>
    <row r="82" spans="4:4" x14ac:dyDescent="0.5">
      <c r="D82" s="17">
        <v>0</v>
      </c>
    </row>
    <row r="83" spans="4:4" x14ac:dyDescent="0.5">
      <c r="D83" s="17">
        <v>0</v>
      </c>
    </row>
    <row r="84" spans="4:4" x14ac:dyDescent="0.5">
      <c r="D84" s="17">
        <v>0</v>
      </c>
    </row>
    <row r="85" spans="4:4" x14ac:dyDescent="0.5">
      <c r="D85" s="17">
        <v>0</v>
      </c>
    </row>
    <row r="86" spans="4:4" x14ac:dyDescent="0.5">
      <c r="D86" s="17">
        <v>0</v>
      </c>
    </row>
    <row r="87" spans="4:4" x14ac:dyDescent="0.5">
      <c r="D87" s="17">
        <v>0</v>
      </c>
    </row>
    <row r="88" spans="4:4" x14ac:dyDescent="0.5">
      <c r="D88" s="17">
        <v>0</v>
      </c>
    </row>
    <row r="89" spans="4:4" x14ac:dyDescent="0.5">
      <c r="D89" s="17">
        <v>0</v>
      </c>
    </row>
    <row r="90" spans="4:4" x14ac:dyDescent="0.5">
      <c r="D90" s="17">
        <v>0</v>
      </c>
    </row>
    <row r="91" spans="4:4" x14ac:dyDescent="0.5">
      <c r="D91" s="17">
        <v>0</v>
      </c>
    </row>
    <row r="92" spans="4:4" x14ac:dyDescent="0.5">
      <c r="D92" s="17">
        <v>0</v>
      </c>
    </row>
    <row r="93" spans="4:4" x14ac:dyDescent="0.5">
      <c r="D93" s="17">
        <v>0</v>
      </c>
    </row>
    <row r="94" spans="4:4" x14ac:dyDescent="0.5">
      <c r="D94" s="17">
        <v>0</v>
      </c>
    </row>
    <row r="95" spans="4:4" x14ac:dyDescent="0.5">
      <c r="D95" s="17">
        <v>0</v>
      </c>
    </row>
    <row r="96" spans="4:4" x14ac:dyDescent="0.5">
      <c r="D96" s="17">
        <v>0</v>
      </c>
    </row>
    <row r="97" spans="4:4" x14ac:dyDescent="0.5">
      <c r="D97" s="17">
        <v>0</v>
      </c>
    </row>
    <row r="98" spans="4:4" x14ac:dyDescent="0.5">
      <c r="D98" s="17">
        <v>0</v>
      </c>
    </row>
    <row r="99" spans="4:4" x14ac:dyDescent="0.5">
      <c r="D99" s="17">
        <v>0</v>
      </c>
    </row>
    <row r="100" spans="4:4" x14ac:dyDescent="0.5">
      <c r="D100" s="17">
        <v>0</v>
      </c>
    </row>
    <row r="101" spans="4:4" x14ac:dyDescent="0.5">
      <c r="D101" s="17">
        <v>0</v>
      </c>
    </row>
    <row r="102" spans="4:4" x14ac:dyDescent="0.5">
      <c r="D102" s="17">
        <v>0</v>
      </c>
    </row>
    <row r="103" spans="4:4" x14ac:dyDescent="0.5">
      <c r="D103" s="17">
        <v>0</v>
      </c>
    </row>
    <row r="104" spans="4:4" x14ac:dyDescent="0.5">
      <c r="D104" s="17">
        <v>0</v>
      </c>
    </row>
    <row r="105" spans="4:4" x14ac:dyDescent="0.5">
      <c r="D105" s="17">
        <v>0</v>
      </c>
    </row>
    <row r="106" spans="4:4" x14ac:dyDescent="0.5">
      <c r="D106" s="17">
        <v>0</v>
      </c>
    </row>
    <row r="107" spans="4:4" x14ac:dyDescent="0.5">
      <c r="D107" s="17">
        <v>0</v>
      </c>
    </row>
    <row r="108" spans="4:4" x14ac:dyDescent="0.5">
      <c r="D108" s="17">
        <v>0</v>
      </c>
    </row>
    <row r="109" spans="4:4" x14ac:dyDescent="0.5">
      <c r="D109" s="17">
        <v>0</v>
      </c>
    </row>
    <row r="110" spans="4:4" x14ac:dyDescent="0.5">
      <c r="D110" s="17">
        <v>0</v>
      </c>
    </row>
    <row r="111" spans="4:4" x14ac:dyDescent="0.5">
      <c r="D111" s="17">
        <v>0</v>
      </c>
    </row>
    <row r="112" spans="4:4" x14ac:dyDescent="0.5">
      <c r="D112" s="17">
        <v>0</v>
      </c>
    </row>
    <row r="113" spans="4:4" x14ac:dyDescent="0.5">
      <c r="D113" s="17">
        <v>0</v>
      </c>
    </row>
    <row r="114" spans="4:4" x14ac:dyDescent="0.5">
      <c r="D114" s="17">
        <v>0</v>
      </c>
    </row>
    <row r="115" spans="4:4" x14ac:dyDescent="0.5">
      <c r="D115" s="17">
        <v>0</v>
      </c>
    </row>
    <row r="116" spans="4:4" x14ac:dyDescent="0.5">
      <c r="D116" s="17">
        <v>0</v>
      </c>
    </row>
    <row r="117" spans="4:4" x14ac:dyDescent="0.5">
      <c r="D117" s="17">
        <v>0</v>
      </c>
    </row>
    <row r="118" spans="4:4" x14ac:dyDescent="0.5">
      <c r="D118" s="17">
        <v>0</v>
      </c>
    </row>
    <row r="119" spans="4:4" x14ac:dyDescent="0.5">
      <c r="D119" s="17">
        <v>0</v>
      </c>
    </row>
    <row r="120" spans="4:4" x14ac:dyDescent="0.5">
      <c r="D120" s="17">
        <v>0</v>
      </c>
    </row>
    <row r="121" spans="4:4" x14ac:dyDescent="0.5">
      <c r="D121" s="17">
        <v>0</v>
      </c>
    </row>
    <row r="122" spans="4:4" x14ac:dyDescent="0.5">
      <c r="D122" s="17">
        <v>0</v>
      </c>
    </row>
    <row r="123" spans="4:4" x14ac:dyDescent="0.5">
      <c r="D123" s="17">
        <v>0</v>
      </c>
    </row>
    <row r="124" spans="4:4" x14ac:dyDescent="0.5">
      <c r="D124" s="17">
        <v>0</v>
      </c>
    </row>
    <row r="125" spans="4:4" x14ac:dyDescent="0.5">
      <c r="D125" s="17">
        <v>0</v>
      </c>
    </row>
    <row r="126" spans="4:4" x14ac:dyDescent="0.5">
      <c r="D126" s="17">
        <v>0</v>
      </c>
    </row>
    <row r="127" spans="4:4" x14ac:dyDescent="0.5">
      <c r="D127" s="17">
        <v>0</v>
      </c>
    </row>
    <row r="128" spans="4:4" x14ac:dyDescent="0.5">
      <c r="D128" s="17">
        <v>0</v>
      </c>
    </row>
    <row r="129" spans="4:4" x14ac:dyDescent="0.5">
      <c r="D129" s="17">
        <v>0</v>
      </c>
    </row>
    <row r="130" spans="4:4" x14ac:dyDescent="0.5">
      <c r="D130" s="17">
        <v>0</v>
      </c>
    </row>
    <row r="131" spans="4:4" x14ac:dyDescent="0.5">
      <c r="D131" s="17">
        <v>0</v>
      </c>
    </row>
    <row r="132" spans="4:4" x14ac:dyDescent="0.5">
      <c r="D132" s="17">
        <v>0</v>
      </c>
    </row>
    <row r="133" spans="4:4" x14ac:dyDescent="0.5">
      <c r="D133" s="17">
        <v>0</v>
      </c>
    </row>
    <row r="134" spans="4:4" x14ac:dyDescent="0.5">
      <c r="D134" s="17">
        <v>0</v>
      </c>
    </row>
    <row r="135" spans="4:4" x14ac:dyDescent="0.5">
      <c r="D135" s="17">
        <v>0</v>
      </c>
    </row>
    <row r="136" spans="4:4" x14ac:dyDescent="0.5">
      <c r="D136" s="17">
        <v>0</v>
      </c>
    </row>
    <row r="137" spans="4:4" x14ac:dyDescent="0.5">
      <c r="D137" s="17">
        <v>0</v>
      </c>
    </row>
    <row r="138" spans="4:4" x14ac:dyDescent="0.5">
      <c r="D138" s="17">
        <v>0</v>
      </c>
    </row>
    <row r="139" spans="4:4" x14ac:dyDescent="0.5">
      <c r="D139" s="17">
        <v>0</v>
      </c>
    </row>
    <row r="140" spans="4:4" x14ac:dyDescent="0.5">
      <c r="D140" s="17">
        <v>0</v>
      </c>
    </row>
    <row r="141" spans="4:4" x14ac:dyDescent="0.5">
      <c r="D141" s="17">
        <v>0</v>
      </c>
    </row>
    <row r="142" spans="4:4" x14ac:dyDescent="0.5">
      <c r="D142" s="17">
        <v>0</v>
      </c>
    </row>
    <row r="143" spans="4:4" x14ac:dyDescent="0.5">
      <c r="D143" s="17">
        <v>0</v>
      </c>
    </row>
    <row r="144" spans="4:4" x14ac:dyDescent="0.5">
      <c r="D144" s="17">
        <v>0</v>
      </c>
    </row>
    <row r="145" spans="4:4" x14ac:dyDescent="0.5">
      <c r="D145" s="17">
        <v>0</v>
      </c>
    </row>
    <row r="146" spans="4:4" x14ac:dyDescent="0.5">
      <c r="D146" s="17">
        <v>0</v>
      </c>
    </row>
    <row r="147" spans="4:4" x14ac:dyDescent="0.5">
      <c r="D147" s="17">
        <v>0</v>
      </c>
    </row>
    <row r="148" spans="4:4" x14ac:dyDescent="0.5">
      <c r="D148" s="17">
        <v>0</v>
      </c>
    </row>
    <row r="149" spans="4:4" x14ac:dyDescent="0.5">
      <c r="D149" s="17">
        <v>0</v>
      </c>
    </row>
    <row r="150" spans="4:4" x14ac:dyDescent="0.5">
      <c r="D150" s="17">
        <v>0</v>
      </c>
    </row>
    <row r="151" spans="4:4" x14ac:dyDescent="0.5">
      <c r="D151" s="17">
        <v>0</v>
      </c>
    </row>
    <row r="152" spans="4:4" x14ac:dyDescent="0.5">
      <c r="D152" s="17">
        <v>0</v>
      </c>
    </row>
    <row r="153" spans="4:4" x14ac:dyDescent="0.5">
      <c r="D153" s="17">
        <v>0</v>
      </c>
    </row>
    <row r="154" spans="4:4" x14ac:dyDescent="0.5">
      <c r="D154" s="17">
        <v>0</v>
      </c>
    </row>
    <row r="155" spans="4:4" x14ac:dyDescent="0.5">
      <c r="D155" s="17">
        <v>0</v>
      </c>
    </row>
    <row r="156" spans="4:4" x14ac:dyDescent="0.5">
      <c r="D156" s="17">
        <v>0</v>
      </c>
    </row>
    <row r="157" spans="4:4" x14ac:dyDescent="0.5">
      <c r="D157" s="17">
        <v>0</v>
      </c>
    </row>
    <row r="158" spans="4:4" x14ac:dyDescent="0.5">
      <c r="D158" s="17">
        <v>0</v>
      </c>
    </row>
    <row r="159" spans="4:4" x14ac:dyDescent="0.5">
      <c r="D159" s="17">
        <v>0</v>
      </c>
    </row>
    <row r="160" spans="4:4" x14ac:dyDescent="0.5">
      <c r="D160" s="17">
        <v>0</v>
      </c>
    </row>
    <row r="161" spans="4:4" x14ac:dyDescent="0.5">
      <c r="D161" s="17">
        <v>0</v>
      </c>
    </row>
    <row r="162" spans="4:4" x14ac:dyDescent="0.5">
      <c r="D162" s="17">
        <v>0</v>
      </c>
    </row>
    <row r="163" spans="4:4" x14ac:dyDescent="0.5">
      <c r="D163" s="17">
        <v>0</v>
      </c>
    </row>
    <row r="164" spans="4:4" x14ac:dyDescent="0.5">
      <c r="D164" s="17">
        <v>0</v>
      </c>
    </row>
    <row r="165" spans="4:4" x14ac:dyDescent="0.5">
      <c r="D165" s="17">
        <v>0</v>
      </c>
    </row>
    <row r="166" spans="4:4" x14ac:dyDescent="0.5">
      <c r="D166" s="17">
        <v>0</v>
      </c>
    </row>
    <row r="167" spans="4:4" x14ac:dyDescent="0.5">
      <c r="D167" s="17">
        <v>0</v>
      </c>
    </row>
    <row r="168" spans="4:4" x14ac:dyDescent="0.5">
      <c r="D168" s="17">
        <v>0</v>
      </c>
    </row>
    <row r="169" spans="4:4" x14ac:dyDescent="0.5">
      <c r="D169" s="17">
        <v>0</v>
      </c>
    </row>
    <row r="170" spans="4:4" x14ac:dyDescent="0.5">
      <c r="D170" s="17">
        <v>0</v>
      </c>
    </row>
    <row r="171" spans="4:4" x14ac:dyDescent="0.5">
      <c r="D171" s="17">
        <v>0</v>
      </c>
    </row>
    <row r="172" spans="4:4" x14ac:dyDescent="0.5">
      <c r="D172" s="17">
        <v>0</v>
      </c>
    </row>
    <row r="173" spans="4:4" x14ac:dyDescent="0.5">
      <c r="D173" s="17">
        <v>0</v>
      </c>
    </row>
    <row r="174" spans="4:4" x14ac:dyDescent="0.5">
      <c r="D174" s="17">
        <v>0</v>
      </c>
    </row>
    <row r="175" spans="4:4" x14ac:dyDescent="0.5">
      <c r="D175" s="17">
        <v>0</v>
      </c>
    </row>
    <row r="176" spans="4:4" x14ac:dyDescent="0.5">
      <c r="D176" s="17">
        <v>0</v>
      </c>
    </row>
    <row r="177" spans="4:4" x14ac:dyDescent="0.5">
      <c r="D177" s="17">
        <v>0</v>
      </c>
    </row>
    <row r="178" spans="4:4" x14ac:dyDescent="0.5">
      <c r="D178" s="17">
        <v>0</v>
      </c>
    </row>
    <row r="179" spans="4:4" x14ac:dyDescent="0.5">
      <c r="D179" s="17">
        <v>0</v>
      </c>
    </row>
    <row r="180" spans="4:4" x14ac:dyDescent="0.5">
      <c r="D180" s="17">
        <v>0</v>
      </c>
    </row>
    <row r="181" spans="4:4" x14ac:dyDescent="0.5">
      <c r="D181" s="17">
        <v>0</v>
      </c>
    </row>
    <row r="182" spans="4:4" x14ac:dyDescent="0.5">
      <c r="D182" s="17">
        <v>0</v>
      </c>
    </row>
    <row r="183" spans="4:4" x14ac:dyDescent="0.5">
      <c r="D183" s="17">
        <v>0</v>
      </c>
    </row>
    <row r="184" spans="4:4" x14ac:dyDescent="0.5">
      <c r="D184" s="17">
        <v>0</v>
      </c>
    </row>
    <row r="185" spans="4:4" x14ac:dyDescent="0.5">
      <c r="D185" s="17">
        <v>0</v>
      </c>
    </row>
    <row r="186" spans="4:4" x14ac:dyDescent="0.5">
      <c r="D186" s="17">
        <v>0</v>
      </c>
    </row>
    <row r="187" spans="4:4" x14ac:dyDescent="0.5">
      <c r="D187" s="17">
        <v>0</v>
      </c>
    </row>
    <row r="188" spans="4:4" x14ac:dyDescent="0.5">
      <c r="D188" s="17">
        <v>0</v>
      </c>
    </row>
    <row r="189" spans="4:4" x14ac:dyDescent="0.5">
      <c r="D189" s="17">
        <v>0</v>
      </c>
    </row>
    <row r="190" spans="4:4" x14ac:dyDescent="0.5">
      <c r="D190" s="17">
        <v>0</v>
      </c>
    </row>
    <row r="191" spans="4:4" x14ac:dyDescent="0.5">
      <c r="D191" s="17">
        <v>0</v>
      </c>
    </row>
    <row r="192" spans="4:4" x14ac:dyDescent="0.5">
      <c r="D192" s="17">
        <v>0</v>
      </c>
    </row>
    <row r="193" spans="4:4" x14ac:dyDescent="0.5">
      <c r="D193" s="17">
        <v>0</v>
      </c>
    </row>
    <row r="194" spans="4:4" x14ac:dyDescent="0.5">
      <c r="D194" s="17">
        <v>0</v>
      </c>
    </row>
    <row r="195" spans="4:4" x14ac:dyDescent="0.5">
      <c r="D195" s="17">
        <v>0</v>
      </c>
    </row>
    <row r="196" spans="4:4" x14ac:dyDescent="0.5">
      <c r="D196" s="17">
        <v>0</v>
      </c>
    </row>
    <row r="197" spans="4:4" x14ac:dyDescent="0.5">
      <c r="D197" s="17">
        <v>0</v>
      </c>
    </row>
    <row r="198" spans="4:4" x14ac:dyDescent="0.5">
      <c r="D198" s="17">
        <v>0</v>
      </c>
    </row>
    <row r="199" spans="4:4" x14ac:dyDescent="0.5">
      <c r="D199" s="17">
        <v>0</v>
      </c>
    </row>
    <row r="200" spans="4:4" x14ac:dyDescent="0.5">
      <c r="D200" s="17">
        <v>0</v>
      </c>
    </row>
    <row r="201" spans="4:4" x14ac:dyDescent="0.5">
      <c r="D201" s="17">
        <v>0</v>
      </c>
    </row>
    <row r="202" spans="4:4" x14ac:dyDescent="0.5">
      <c r="D202" s="17">
        <v>0</v>
      </c>
    </row>
    <row r="203" spans="4:4" x14ac:dyDescent="0.5">
      <c r="D203" s="17">
        <v>0</v>
      </c>
    </row>
    <row r="204" spans="4:4" x14ac:dyDescent="0.5">
      <c r="D204" s="17">
        <v>0</v>
      </c>
    </row>
    <row r="205" spans="4:4" x14ac:dyDescent="0.5">
      <c r="D205" s="17">
        <v>0</v>
      </c>
    </row>
    <row r="206" spans="4:4" x14ac:dyDescent="0.5">
      <c r="D206" s="17">
        <v>0</v>
      </c>
    </row>
    <row r="207" spans="4:4" x14ac:dyDescent="0.5">
      <c r="D207" s="17">
        <v>0</v>
      </c>
    </row>
    <row r="208" spans="4:4" x14ac:dyDescent="0.5">
      <c r="D208" s="17">
        <v>0</v>
      </c>
    </row>
    <row r="209" spans="4:4" x14ac:dyDescent="0.5">
      <c r="D209" s="17">
        <v>0</v>
      </c>
    </row>
    <row r="210" spans="4:4" x14ac:dyDescent="0.5">
      <c r="D210" s="17">
        <v>0</v>
      </c>
    </row>
    <row r="211" spans="4:4" x14ac:dyDescent="0.5">
      <c r="D211" s="17">
        <v>0</v>
      </c>
    </row>
    <row r="212" spans="4:4" x14ac:dyDescent="0.5">
      <c r="D212" s="17">
        <v>0</v>
      </c>
    </row>
    <row r="213" spans="4:4" x14ac:dyDescent="0.5">
      <c r="D213" s="17">
        <v>0</v>
      </c>
    </row>
    <row r="214" spans="4:4" x14ac:dyDescent="0.5">
      <c r="D214" s="17">
        <v>0</v>
      </c>
    </row>
    <row r="215" spans="4:4" x14ac:dyDescent="0.5">
      <c r="D215" s="17">
        <v>0</v>
      </c>
    </row>
    <row r="216" spans="4:4" x14ac:dyDescent="0.5">
      <c r="D216" s="17">
        <v>0</v>
      </c>
    </row>
    <row r="217" spans="4:4" x14ac:dyDescent="0.5">
      <c r="D217" s="17">
        <v>0</v>
      </c>
    </row>
    <row r="218" spans="4:4" x14ac:dyDescent="0.5">
      <c r="D218" s="17">
        <v>0</v>
      </c>
    </row>
    <row r="219" spans="4:4" x14ac:dyDescent="0.5">
      <c r="D219" s="17">
        <v>0</v>
      </c>
    </row>
    <row r="220" spans="4:4" x14ac:dyDescent="0.5">
      <c r="D220" s="17">
        <v>0</v>
      </c>
    </row>
    <row r="221" spans="4:4" x14ac:dyDescent="0.5">
      <c r="D221" s="17">
        <v>0</v>
      </c>
    </row>
    <row r="222" spans="4:4" x14ac:dyDescent="0.5">
      <c r="D222" s="17">
        <v>0</v>
      </c>
    </row>
    <row r="223" spans="4:4" x14ac:dyDescent="0.5">
      <c r="D223" s="17">
        <v>0</v>
      </c>
    </row>
    <row r="224" spans="4:4" x14ac:dyDescent="0.5">
      <c r="D224" s="17">
        <v>0</v>
      </c>
    </row>
    <row r="225" spans="4:4" x14ac:dyDescent="0.5">
      <c r="D225" s="17">
        <v>0</v>
      </c>
    </row>
    <row r="226" spans="4:4" x14ac:dyDescent="0.5">
      <c r="D226" s="17">
        <v>0</v>
      </c>
    </row>
    <row r="227" spans="4:4" x14ac:dyDescent="0.5">
      <c r="D227" s="17">
        <v>0</v>
      </c>
    </row>
    <row r="228" spans="4:4" x14ac:dyDescent="0.5">
      <c r="D228" s="17">
        <v>0</v>
      </c>
    </row>
    <row r="229" spans="4:4" x14ac:dyDescent="0.5">
      <c r="D229" s="17">
        <v>0</v>
      </c>
    </row>
    <row r="230" spans="4:4" x14ac:dyDescent="0.5">
      <c r="D230" s="17">
        <v>0</v>
      </c>
    </row>
    <row r="231" spans="4:4" x14ac:dyDescent="0.5">
      <c r="D231" s="17">
        <v>0</v>
      </c>
    </row>
    <row r="232" spans="4:4" x14ac:dyDescent="0.5">
      <c r="D232" s="17">
        <v>0</v>
      </c>
    </row>
    <row r="233" spans="4:4" x14ac:dyDescent="0.5">
      <c r="D233" s="17">
        <v>0</v>
      </c>
    </row>
    <row r="234" spans="4:4" x14ac:dyDescent="0.5">
      <c r="D234" s="17">
        <v>0</v>
      </c>
    </row>
    <row r="235" spans="4:4" x14ac:dyDescent="0.5">
      <c r="D235" s="17">
        <v>0</v>
      </c>
    </row>
    <row r="236" spans="4:4" x14ac:dyDescent="0.5">
      <c r="D236" s="17">
        <v>0</v>
      </c>
    </row>
    <row r="237" spans="4:4" x14ac:dyDescent="0.5">
      <c r="D237" s="17">
        <v>0</v>
      </c>
    </row>
    <row r="238" spans="4:4" x14ac:dyDescent="0.5">
      <c r="D238" s="17">
        <v>0</v>
      </c>
    </row>
    <row r="239" spans="4:4" x14ac:dyDescent="0.5">
      <c r="D239" s="17">
        <v>0</v>
      </c>
    </row>
    <row r="240" spans="4:4" x14ac:dyDescent="0.5">
      <c r="D240" s="17">
        <v>0</v>
      </c>
    </row>
    <row r="241" spans="4:4" x14ac:dyDescent="0.5">
      <c r="D241" s="17">
        <v>0</v>
      </c>
    </row>
    <row r="242" spans="4:4" x14ac:dyDescent="0.5">
      <c r="D242" s="17">
        <v>0</v>
      </c>
    </row>
    <row r="243" spans="4:4" x14ac:dyDescent="0.5">
      <c r="D243" s="17">
        <v>0</v>
      </c>
    </row>
    <row r="244" spans="4:4" x14ac:dyDescent="0.5">
      <c r="D244" s="17">
        <v>0</v>
      </c>
    </row>
    <row r="245" spans="4:4" x14ac:dyDescent="0.5">
      <c r="D245" s="17">
        <v>0</v>
      </c>
    </row>
    <row r="246" spans="4:4" x14ac:dyDescent="0.5">
      <c r="D246" s="1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PTE LA VIRGEN   21208110 </vt:lpstr>
      <vt:lpstr>Metadata</vt:lpstr>
      <vt:lpstr>HEC-RAS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2026-07-06T18:45:45Z</dcterms:created>
  <dcterms:modified xsi:type="dcterms:W3CDTF">2026-07-06T22:27:38Z</dcterms:modified>
</cp:coreProperties>
</file>